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me" sheetId="1" state="visible" r:id="rId1"/>
    <sheet name="TB" sheetId="2" state="visible" r:id="rId2"/>
    <sheet name="BS" sheetId="3" state="visible" r:id="rId3"/>
    <sheet name="PL" sheetId="4" state="visible" r:id="rId4"/>
    <sheet name="Notes" sheetId="5" state="visible" r:id="rId5"/>
    <sheet name="Master" sheetId="6" state="hidden" r:id="rId6"/>
  </sheets>
  <definedNames>
    <definedName name="GroupLabels">Master!$B$2:$B$39</definedName>
    <definedName name="KeywordRange">Master!$K$2:$K$186</definedName>
    <definedName name="KeywordGroupRange">Master!$L$2:$L$186</definedName>
    <definedName name="EntityName">Home!$C$10</definedName>
    <definedName name="EntityType">Home!$C$11</definedName>
    <definedName name="EntityPAN">Home!$C$12</definedName>
    <definedName name="NatureOfBusiness">Home!$C$13</definedName>
    <definedName name="EntityAddress">Home!$C$14</definedName>
    <definedName name="FYEnd">Home!$F$10</definedName>
    <definedName name="PYEnd">Home!$F$11</definedName>
    <definedName name="Rounding">Home!$F$12</definedName>
    <definedName name="HasTax">Home!$F$13</definedName>
    <definedName name="ShowRemun">Home!$F$14</definedName>
    <definedName name="SignatoryName">Home!$C$18</definedName>
    <definedName name="SignatoryDesignation">Home!$C$19</definedName>
    <definedName name="SignatoryPlace">Home!$C$20</definedName>
    <definedName name="SignatoryDate">Home!$C$21</definedName>
    <definedName name="PreparerFirm">Home!$C$22</definedName>
    <definedName name="PreparerMembership">Home!$C$23</definedName>
    <definedName name="RoundingFactor">Master!$O$1</definedName>
  </definedNames>
  <calcPr calcId="124519" fullCalcOnLoad="1"/>
</workbook>
</file>

<file path=xl/styles.xml><?xml version="1.0" encoding="utf-8"?>
<styleSheet xmlns="http://schemas.openxmlformats.org/spreadsheetml/2006/main">
  <numFmts count="1">
    <numFmt numFmtId="164" formatCode="#,##0.00;(#,##0.00);-"/>
  </numFmts>
  <fonts count="9">
    <font>
      <name val="Calibri"/>
      <family val="2"/>
      <color theme="1"/>
      <sz val="11"/>
      <scheme val="minor"/>
    </font>
    <font>
      <b val="1"/>
    </font>
    <font>
      <b val="1"/>
      <sz val="14"/>
    </font>
    <font>
      <color rgb="006B7280"/>
      <sz val="10"/>
    </font>
    <font>
      <color rgb="00374151"/>
      <sz val="10"/>
    </font>
    <font>
      <color rgb="002563EB"/>
      <u val="single"/>
    </font>
    <font>
      <b val="1"/>
      <color rgb="00FFFFFF"/>
    </font>
    <font>
      <b val="1"/>
      <i val="1"/>
      <color rgb="00374151"/>
    </font>
    <font>
      <i val="1"/>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1" pivotButton="0" quotePrefix="0" xfId="0"/>
    <xf numFmtId="0" fontId="5" fillId="0" borderId="0" pivotButton="0" quotePrefix="0" xfId="0"/>
    <xf numFmtId="0" fontId="6" fillId="2" borderId="0" applyAlignment="1" pivotButton="0" quotePrefix="0" xfId="0">
      <alignment vertical="center" wrapText="1"/>
    </xf>
    <xf numFmtId="164" fontId="0" fillId="0" borderId="0" pivotButton="0" quotePrefix="0" xfId="0"/>
    <xf numFmtId="164" fontId="1" fillId="0" borderId="0" pivotButton="0" quotePrefix="0" xfId="0"/>
    <xf numFmtId="0" fontId="6" fillId="2" borderId="0" pivotButton="0" quotePrefix="0" xfId="0"/>
    <xf numFmtId="0" fontId="7" fillId="0" borderId="0" pivotButton="0" quotePrefix="0" xfId="0"/>
    <xf numFmtId="0" fontId="8" fillId="0" borderId="0" pivotButton="0" quotePrefix="0" xfId="0"/>
  </cellXfs>
  <cellStyles count="1">
    <cellStyle name="Normal" xfId="0" builtinId="0" hidden="0"/>
  </cellStyles>
  <dxfs count="1">
    <dxf>
      <fill>
        <patternFill patternType="solid">
          <f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30"/>
  <sheetViews>
    <sheetView showGridLines="0" workbookViewId="0">
      <selection activeCell="A1" sqref="A1"/>
    </sheetView>
  </sheetViews>
  <sheetFormatPr baseColWidth="8" defaultRowHeight="15" outlineLevelCol="0"/>
  <cols>
    <col width="3" customWidth="1" min="1" max="1"/>
    <col width="28" customWidth="1" min="2" max="2"/>
    <col width="32" customWidth="1" min="3" max="3"/>
    <col width="3" customWidth="1" min="4" max="4"/>
    <col width="28" customWidth="1" min="5" max="5"/>
    <col width="32" customWidth="1" min="6" max="6"/>
  </cols>
  <sheetData>
    <row r="2">
      <c r="B2" s="2" t="inlineStr">
        <is>
          <t>Financial Statement Preparation Tool</t>
        </is>
      </c>
    </row>
    <row r="3">
      <c r="B3" s="3" t="inlineStr">
        <is>
          <t>ICAI Guidance Note on Financial Statements of Non-Corporate Entities (Division I)</t>
        </is>
      </c>
    </row>
    <row r="5">
      <c r="B5" s="4" t="inlineStr">
        <is>
          <t>1. Fill in entity details below.</t>
        </is>
      </c>
    </row>
    <row r="6">
      <c r="B6" s="4" t="inlineStr">
        <is>
          <t>2. Go to the Trial Balance sheet, paste/enter your ledgers and confirm the Group for each.</t>
        </is>
      </c>
    </row>
    <row r="7">
      <c r="B7" s="4" t="inlineStr">
        <is>
          <t>3. Balance Sheet, Profit &amp; Loss and Notes sheets update automatically.</t>
        </is>
      </c>
    </row>
    <row r="9">
      <c r="B9" s="1" t="inlineStr">
        <is>
          <t>Entity Details</t>
        </is>
      </c>
      <c r="E9" s="1" t="inlineStr">
        <is>
          <t>Reporting</t>
        </is>
      </c>
    </row>
    <row r="10">
      <c r="B10" t="inlineStr">
        <is>
          <t>Entity Name</t>
        </is>
      </c>
      <c r="C10" s="5" t="inlineStr">
        <is>
          <t>[Enter Entity Name]</t>
        </is>
      </c>
      <c r="E10" t="inlineStr">
        <is>
          <t>Financial Year Ended</t>
        </is>
      </c>
      <c r="F10" s="5" t="n"/>
    </row>
    <row r="11">
      <c r="B11" t="inlineStr">
        <is>
          <t>Entity Type</t>
        </is>
      </c>
      <c r="C11" s="5" t="inlineStr">
        <is>
          <t>Partnership Firm</t>
        </is>
      </c>
      <c r="E11" t="inlineStr">
        <is>
          <t>Previous Year Ended</t>
        </is>
      </c>
      <c r="F11" s="5" t="n"/>
    </row>
    <row r="12">
      <c r="B12" t="inlineStr">
        <is>
          <t>PAN</t>
        </is>
      </c>
      <c r="C12" s="5" t="inlineStr"/>
      <c r="E12" t="inlineStr">
        <is>
          <t>Rounding</t>
        </is>
      </c>
      <c r="F12" s="5" t="inlineStr">
        <is>
          <t>Actual</t>
        </is>
      </c>
    </row>
    <row r="13">
      <c r="B13" t="inlineStr">
        <is>
          <t>Nature of Business</t>
        </is>
      </c>
      <c r="C13" s="5" t="inlineStr"/>
      <c r="E13" t="inlineStr">
        <is>
          <t>Has own Income-tax liability? (Y/N)</t>
        </is>
      </c>
      <c r="F13" s="5" t="inlineStr">
        <is>
          <t>Y</t>
        </is>
      </c>
    </row>
    <row r="14">
      <c r="B14" t="inlineStr">
        <is>
          <t>Registered Address</t>
        </is>
      </c>
      <c r="C14" s="5" t="inlineStr"/>
      <c r="E14" t="inlineStr">
        <is>
          <t>Show Partners' Remuneration line? (Y/N)</t>
        </is>
      </c>
      <c r="F14" s="5" t="inlineStr">
        <is>
          <t>Y</t>
        </is>
      </c>
    </row>
    <row r="17">
      <c r="B17" s="1" t="inlineStr">
        <is>
          <t>Signatory / Preparer</t>
        </is>
      </c>
    </row>
    <row r="18">
      <c r="B18" t="inlineStr">
        <is>
          <t>Name of Signatory</t>
        </is>
      </c>
      <c r="C18" s="5" t="inlineStr"/>
    </row>
    <row r="19">
      <c r="B19" t="inlineStr">
        <is>
          <t>Designation</t>
        </is>
      </c>
      <c r="C19" s="5" t="inlineStr">
        <is>
          <t>Partner</t>
        </is>
      </c>
    </row>
    <row r="20">
      <c r="B20" t="inlineStr">
        <is>
          <t>Place</t>
        </is>
      </c>
      <c r="C20" s="5" t="inlineStr"/>
    </row>
    <row r="21">
      <c r="B21" t="inlineStr">
        <is>
          <t>Date</t>
        </is>
      </c>
      <c r="C21" s="5" t="n"/>
    </row>
    <row r="22">
      <c r="B22" t="inlineStr">
        <is>
          <t>Auditor / Preparer Firm Name</t>
        </is>
      </c>
      <c r="C22" s="5" t="inlineStr"/>
    </row>
    <row r="23">
      <c r="B23" t="inlineStr">
        <is>
          <t>Membership No.</t>
        </is>
      </c>
      <c r="C23" s="5" t="inlineStr"/>
    </row>
    <row r="26">
      <c r="B26" s="1" t="inlineStr">
        <is>
          <t>Go to</t>
        </is>
      </c>
    </row>
    <row r="27">
      <c r="B27" s="6" t="inlineStr">
        <is>
          <t>Trial Balance -&gt; 'TB'</t>
        </is>
      </c>
    </row>
    <row r="28">
      <c r="B28" s="6" t="inlineStr">
        <is>
          <t>Balance Sheet -&gt; 'BS'</t>
        </is>
      </c>
    </row>
    <row r="29">
      <c r="B29" s="6" t="inlineStr">
        <is>
          <t>Profit &amp; Loss -&gt; 'PL'</t>
        </is>
      </c>
    </row>
    <row r="30">
      <c r="B30" s="6" t="inlineStr">
        <is>
          <t>Notes to Accounts -&gt; 'Notes'</t>
        </is>
      </c>
    </row>
  </sheetData>
  <dataValidations count="4">
    <dataValidation sqref="C11" showDropDown="0" showInputMessage="0" showErrorMessage="0" allowBlank="0" type="list">
      <formula1>"Sole Proprietorship,Partnership Firm,LLP"</formula1>
    </dataValidation>
    <dataValidation sqref="F12" showDropDown="0" showInputMessage="0" showErrorMessage="0" allowBlank="0" type="list">
      <formula1>"Actual,Hundreds,Thousands,Lakhs,Crores,Millions"</formula1>
    </dataValidation>
    <dataValidation sqref="F13" showDropDown="0" showInputMessage="0" showErrorMessage="0" allowBlank="0" type="list">
      <formula1>"Y,N"</formula1>
    </dataValidation>
    <dataValidation sqref="F14" showDropDown="0" showInputMessage="0" showErrorMessage="0" allowBlank="0"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8"/>
  <sheetViews>
    <sheetView workbookViewId="0">
      <pane ySplit="4" topLeftCell="A5" activePane="bottomLeft" state="frozen"/>
      <selection pane="bottomLeft" activeCell="A1" sqref="A1"/>
    </sheetView>
  </sheetViews>
  <sheetFormatPr baseColWidth="8" defaultRowHeight="15" outlineLevelCol="0"/>
  <cols>
    <col width="10" customWidth="1" min="1" max="1"/>
    <col width="32" customWidth="1" min="2" max="2"/>
    <col width="20" customWidth="1" min="3" max="3"/>
    <col width="34" customWidth="1" min="4" max="4"/>
    <col width="34" customWidth="1" min="5" max="5"/>
    <col width="14" customWidth="1" min="6" max="6"/>
    <col width="14" customWidth="1" min="7" max="7"/>
    <col width="14" customWidth="1" min="8" max="8"/>
    <col width="14" customWidth="1" min="9" max="9"/>
    <col width="22" customWidth="1" min="10" max="10"/>
  </cols>
  <sheetData>
    <row r="1">
      <c r="A1" s="2">
        <f>Home!$C$10</f>
        <v/>
      </c>
    </row>
    <row r="2">
      <c r="A2" s="1" t="inlineStr">
        <is>
          <t>Trial Balance</t>
        </is>
      </c>
    </row>
    <row r="4">
      <c r="A4" s="7" t="inlineStr">
        <is>
          <t>GL Code</t>
        </is>
      </c>
      <c r="B4" s="7" t="inlineStr">
        <is>
          <t>Ledger Name</t>
        </is>
      </c>
      <c r="C4" s="7" t="inlineStr">
        <is>
          <t>Tally Group (optional)</t>
        </is>
      </c>
      <c r="D4" s="7" t="inlineStr">
        <is>
          <t>Suggested Group</t>
        </is>
      </c>
      <c r="E4" s="7" t="inlineStr">
        <is>
          <t>Group (confirm/override)</t>
        </is>
      </c>
      <c r="F4" s="7" t="inlineStr">
        <is>
          <t>CY Debit</t>
        </is>
      </c>
      <c r="G4" s="7" t="inlineStr">
        <is>
          <t>CY Credit</t>
        </is>
      </c>
      <c r="H4" s="7" t="inlineStr">
        <is>
          <t>PY Debit</t>
        </is>
      </c>
      <c r="I4" s="7" t="inlineStr">
        <is>
          <t>PY Credit</t>
        </is>
      </c>
      <c r="J4" s="7" t="inlineStr">
        <is>
          <t>Narration</t>
        </is>
      </c>
    </row>
    <row r="5">
      <c r="D5">
        <f t="array" ref="D5">IF(B5="","",IFERROR(INDEX(KeywordGroupRange,MATCH(TRUE,ISNUMBER(SEARCH(KeywordRange,B5&amp;" "&amp;C5)),0)),""))</f>
        <v/>
      </c>
      <c r="E5">
        <f>IF(B5="","",D5)</f>
        <v/>
      </c>
      <c r="F5" s="8" t="n"/>
      <c r="G5" s="8" t="n"/>
      <c r="H5" s="8" t="n"/>
      <c r="I5" s="8" t="n"/>
    </row>
    <row r="6">
      <c r="D6">
        <f t="array" ref="D6">IF(B6="","",IFERROR(INDEX(KeywordGroupRange,MATCH(TRUE,ISNUMBER(SEARCH(KeywordRange,B6&amp;" "&amp;C6)),0)),""))</f>
        <v/>
      </c>
      <c r="E6">
        <f>IF(B6="","",D6)</f>
        <v/>
      </c>
      <c r="F6" s="8" t="n"/>
      <c r="G6" s="8" t="n"/>
      <c r="H6" s="8" t="n"/>
      <c r="I6" s="8" t="n"/>
    </row>
    <row r="7">
      <c r="D7">
        <f t="array" ref="D7">IF(B7="","",IFERROR(INDEX(KeywordGroupRange,MATCH(TRUE,ISNUMBER(SEARCH(KeywordRange,B7&amp;" "&amp;C7)),0)),""))</f>
        <v/>
      </c>
      <c r="E7">
        <f>IF(B7="","",D7)</f>
        <v/>
      </c>
      <c r="F7" s="8" t="n"/>
      <c r="G7" s="8" t="n"/>
      <c r="H7" s="8" t="n"/>
      <c r="I7" s="8" t="n"/>
    </row>
    <row r="8">
      <c r="D8">
        <f t="array" ref="D8">IF(B8="","",IFERROR(INDEX(KeywordGroupRange,MATCH(TRUE,ISNUMBER(SEARCH(KeywordRange,B8&amp;" "&amp;C8)),0)),""))</f>
        <v/>
      </c>
      <c r="E8">
        <f>IF(B8="","",D8)</f>
        <v/>
      </c>
      <c r="F8" s="8" t="n"/>
      <c r="G8" s="8" t="n"/>
      <c r="H8" s="8" t="n"/>
      <c r="I8" s="8" t="n"/>
    </row>
    <row r="9">
      <c r="D9">
        <f t="array" ref="D9">IF(B9="","",IFERROR(INDEX(KeywordGroupRange,MATCH(TRUE,ISNUMBER(SEARCH(KeywordRange,B9&amp;" "&amp;C9)),0)),""))</f>
        <v/>
      </c>
      <c r="E9">
        <f>IF(B9="","",D9)</f>
        <v/>
      </c>
      <c r="F9" s="8" t="n"/>
      <c r="G9" s="8" t="n"/>
      <c r="H9" s="8" t="n"/>
      <c r="I9" s="8" t="n"/>
    </row>
    <row r="10">
      <c r="D10">
        <f t="array" ref="D10">IF(B10="","",IFERROR(INDEX(KeywordGroupRange,MATCH(TRUE,ISNUMBER(SEARCH(KeywordRange,B10&amp;" "&amp;C10)),0)),""))</f>
        <v/>
      </c>
      <c r="E10">
        <f>IF(B10="","",D10)</f>
        <v/>
      </c>
      <c r="F10" s="8" t="n"/>
      <c r="G10" s="8" t="n"/>
      <c r="H10" s="8" t="n"/>
      <c r="I10" s="8" t="n"/>
    </row>
    <row r="11">
      <c r="D11">
        <f t="array" ref="D11">IF(B11="","",IFERROR(INDEX(KeywordGroupRange,MATCH(TRUE,ISNUMBER(SEARCH(KeywordRange,B11&amp;" "&amp;C11)),0)),""))</f>
        <v/>
      </c>
      <c r="E11">
        <f>IF(B11="","",D11)</f>
        <v/>
      </c>
      <c r="F11" s="8" t="n"/>
      <c r="G11" s="8" t="n"/>
      <c r="H11" s="8" t="n"/>
      <c r="I11" s="8" t="n"/>
    </row>
    <row r="12">
      <c r="D12">
        <f t="array" ref="D12">IF(B12="","",IFERROR(INDEX(KeywordGroupRange,MATCH(TRUE,ISNUMBER(SEARCH(KeywordRange,B12&amp;" "&amp;C12)),0)),""))</f>
        <v/>
      </c>
      <c r="E12">
        <f>IF(B12="","",D12)</f>
        <v/>
      </c>
      <c r="F12" s="8" t="n"/>
      <c r="G12" s="8" t="n"/>
      <c r="H12" s="8" t="n"/>
      <c r="I12" s="8" t="n"/>
    </row>
    <row r="13">
      <c r="D13">
        <f t="array" ref="D13">IF(B13="","",IFERROR(INDEX(KeywordGroupRange,MATCH(TRUE,ISNUMBER(SEARCH(KeywordRange,B13&amp;" "&amp;C13)),0)),""))</f>
        <v/>
      </c>
      <c r="E13">
        <f>IF(B13="","",D13)</f>
        <v/>
      </c>
      <c r="F13" s="8" t="n"/>
      <c r="G13" s="8" t="n"/>
      <c r="H13" s="8" t="n"/>
      <c r="I13" s="8" t="n"/>
    </row>
    <row r="14">
      <c r="D14">
        <f t="array" ref="D14">IF(B14="","",IFERROR(INDEX(KeywordGroupRange,MATCH(TRUE,ISNUMBER(SEARCH(KeywordRange,B14&amp;" "&amp;C14)),0)),""))</f>
        <v/>
      </c>
      <c r="E14">
        <f>IF(B14="","",D14)</f>
        <v/>
      </c>
      <c r="F14" s="8" t="n"/>
      <c r="G14" s="8" t="n"/>
      <c r="H14" s="8" t="n"/>
      <c r="I14" s="8" t="n"/>
    </row>
    <row r="15">
      <c r="D15">
        <f t="array" ref="D15">IF(B15="","",IFERROR(INDEX(KeywordGroupRange,MATCH(TRUE,ISNUMBER(SEARCH(KeywordRange,B15&amp;" "&amp;C15)),0)),""))</f>
        <v/>
      </c>
      <c r="E15">
        <f>IF(B15="","",D15)</f>
        <v/>
      </c>
      <c r="F15" s="8" t="n"/>
      <c r="G15" s="8" t="n"/>
      <c r="H15" s="8" t="n"/>
      <c r="I15" s="8" t="n"/>
    </row>
    <row r="16">
      <c r="D16">
        <f t="array" ref="D16">IF(B16="","",IFERROR(INDEX(KeywordGroupRange,MATCH(TRUE,ISNUMBER(SEARCH(KeywordRange,B16&amp;" "&amp;C16)),0)),""))</f>
        <v/>
      </c>
      <c r="E16">
        <f>IF(B16="","",D16)</f>
        <v/>
      </c>
      <c r="F16" s="8" t="n"/>
      <c r="G16" s="8" t="n"/>
      <c r="H16" s="8" t="n"/>
      <c r="I16" s="8" t="n"/>
    </row>
    <row r="17">
      <c r="D17">
        <f t="array" ref="D17">IF(B17="","",IFERROR(INDEX(KeywordGroupRange,MATCH(TRUE,ISNUMBER(SEARCH(KeywordRange,B17&amp;" "&amp;C17)),0)),""))</f>
        <v/>
      </c>
      <c r="E17">
        <f>IF(B17="","",D17)</f>
        <v/>
      </c>
      <c r="F17" s="8" t="n"/>
      <c r="G17" s="8" t="n"/>
      <c r="H17" s="8" t="n"/>
      <c r="I17" s="8" t="n"/>
    </row>
    <row r="18">
      <c r="D18">
        <f t="array" ref="D18">IF(B18="","",IFERROR(INDEX(KeywordGroupRange,MATCH(TRUE,ISNUMBER(SEARCH(KeywordRange,B18&amp;" "&amp;C18)),0)),""))</f>
        <v/>
      </c>
      <c r="E18">
        <f>IF(B18="","",D18)</f>
        <v/>
      </c>
      <c r="F18" s="8" t="n"/>
      <c r="G18" s="8" t="n"/>
      <c r="H18" s="8" t="n"/>
      <c r="I18" s="8" t="n"/>
    </row>
    <row r="19">
      <c r="D19">
        <f t="array" ref="D19">IF(B19="","",IFERROR(INDEX(KeywordGroupRange,MATCH(TRUE,ISNUMBER(SEARCH(KeywordRange,B19&amp;" "&amp;C19)),0)),""))</f>
        <v/>
      </c>
      <c r="E19">
        <f>IF(B19="","",D19)</f>
        <v/>
      </c>
      <c r="F19" s="8" t="n"/>
      <c r="G19" s="8" t="n"/>
      <c r="H19" s="8" t="n"/>
      <c r="I19" s="8" t="n"/>
    </row>
    <row r="20">
      <c r="D20">
        <f t="array" ref="D20">IF(B20="","",IFERROR(INDEX(KeywordGroupRange,MATCH(TRUE,ISNUMBER(SEARCH(KeywordRange,B20&amp;" "&amp;C20)),0)),""))</f>
        <v/>
      </c>
      <c r="E20">
        <f>IF(B20="","",D20)</f>
        <v/>
      </c>
      <c r="F20" s="8" t="n"/>
      <c r="G20" s="8" t="n"/>
      <c r="H20" s="8" t="n"/>
      <c r="I20" s="8" t="n"/>
    </row>
    <row r="21">
      <c r="D21">
        <f t="array" ref="D21">IF(B21="","",IFERROR(INDEX(KeywordGroupRange,MATCH(TRUE,ISNUMBER(SEARCH(KeywordRange,B21&amp;" "&amp;C21)),0)),""))</f>
        <v/>
      </c>
      <c r="E21">
        <f>IF(B21="","",D21)</f>
        <v/>
      </c>
      <c r="F21" s="8" t="n"/>
      <c r="G21" s="8" t="n"/>
      <c r="H21" s="8" t="n"/>
      <c r="I21" s="8" t="n"/>
    </row>
    <row r="22">
      <c r="D22">
        <f t="array" ref="D22">IF(B22="","",IFERROR(INDEX(KeywordGroupRange,MATCH(TRUE,ISNUMBER(SEARCH(KeywordRange,B22&amp;" "&amp;C22)),0)),""))</f>
        <v/>
      </c>
      <c r="E22">
        <f>IF(B22="","",D22)</f>
        <v/>
      </c>
      <c r="F22" s="8" t="n"/>
      <c r="G22" s="8" t="n"/>
      <c r="H22" s="8" t="n"/>
      <c r="I22" s="8" t="n"/>
    </row>
    <row r="23">
      <c r="D23">
        <f t="array" ref="D23">IF(B23="","",IFERROR(INDEX(KeywordGroupRange,MATCH(TRUE,ISNUMBER(SEARCH(KeywordRange,B23&amp;" "&amp;C23)),0)),""))</f>
        <v/>
      </c>
      <c r="E23">
        <f>IF(B23="","",D23)</f>
        <v/>
      </c>
      <c r="F23" s="8" t="n"/>
      <c r="G23" s="8" t="n"/>
      <c r="H23" s="8" t="n"/>
      <c r="I23" s="8" t="n"/>
    </row>
    <row r="24">
      <c r="D24">
        <f t="array" ref="D24">IF(B24="","",IFERROR(INDEX(KeywordGroupRange,MATCH(TRUE,ISNUMBER(SEARCH(KeywordRange,B24&amp;" "&amp;C24)),0)),""))</f>
        <v/>
      </c>
      <c r="E24">
        <f>IF(B24="","",D24)</f>
        <v/>
      </c>
      <c r="F24" s="8" t="n"/>
      <c r="G24" s="8" t="n"/>
      <c r="H24" s="8" t="n"/>
      <c r="I24" s="8" t="n"/>
    </row>
    <row r="25">
      <c r="D25">
        <f t="array" ref="D25">IF(B25="","",IFERROR(INDEX(KeywordGroupRange,MATCH(TRUE,ISNUMBER(SEARCH(KeywordRange,B25&amp;" "&amp;C25)),0)),""))</f>
        <v/>
      </c>
      <c r="E25">
        <f>IF(B25="","",D25)</f>
        <v/>
      </c>
      <c r="F25" s="8" t="n"/>
      <c r="G25" s="8" t="n"/>
      <c r="H25" s="8" t="n"/>
      <c r="I25" s="8" t="n"/>
    </row>
    <row r="26">
      <c r="D26">
        <f t="array" ref="D26">IF(B26="","",IFERROR(INDEX(KeywordGroupRange,MATCH(TRUE,ISNUMBER(SEARCH(KeywordRange,B26&amp;" "&amp;C26)),0)),""))</f>
        <v/>
      </c>
      <c r="E26">
        <f>IF(B26="","",D26)</f>
        <v/>
      </c>
      <c r="F26" s="8" t="n"/>
      <c r="G26" s="8" t="n"/>
      <c r="H26" s="8" t="n"/>
      <c r="I26" s="8" t="n"/>
    </row>
    <row r="27">
      <c r="D27">
        <f t="array" ref="D27">IF(B27="","",IFERROR(INDEX(KeywordGroupRange,MATCH(TRUE,ISNUMBER(SEARCH(KeywordRange,B27&amp;" "&amp;C27)),0)),""))</f>
        <v/>
      </c>
      <c r="E27">
        <f>IF(B27="","",D27)</f>
        <v/>
      </c>
      <c r="F27" s="8" t="n"/>
      <c r="G27" s="8" t="n"/>
      <c r="H27" s="8" t="n"/>
      <c r="I27" s="8" t="n"/>
    </row>
    <row r="28">
      <c r="D28">
        <f t="array" ref="D28">IF(B28="","",IFERROR(INDEX(KeywordGroupRange,MATCH(TRUE,ISNUMBER(SEARCH(KeywordRange,B28&amp;" "&amp;C28)),0)),""))</f>
        <v/>
      </c>
      <c r="E28">
        <f>IF(B28="","",D28)</f>
        <v/>
      </c>
      <c r="F28" s="8" t="n"/>
      <c r="G28" s="8" t="n"/>
      <c r="H28" s="8" t="n"/>
      <c r="I28" s="8" t="n"/>
    </row>
    <row r="29">
      <c r="D29">
        <f t="array" ref="D29">IF(B29="","",IFERROR(INDEX(KeywordGroupRange,MATCH(TRUE,ISNUMBER(SEARCH(KeywordRange,B29&amp;" "&amp;C29)),0)),""))</f>
        <v/>
      </c>
      <c r="E29">
        <f>IF(B29="","",D29)</f>
        <v/>
      </c>
      <c r="F29" s="8" t="n"/>
      <c r="G29" s="8" t="n"/>
      <c r="H29" s="8" t="n"/>
      <c r="I29" s="8" t="n"/>
    </row>
    <row r="30">
      <c r="D30">
        <f t="array" ref="D30">IF(B30="","",IFERROR(INDEX(KeywordGroupRange,MATCH(TRUE,ISNUMBER(SEARCH(KeywordRange,B30&amp;" "&amp;C30)),0)),""))</f>
        <v/>
      </c>
      <c r="E30">
        <f>IF(B30="","",D30)</f>
        <v/>
      </c>
      <c r="F30" s="8" t="n"/>
      <c r="G30" s="8" t="n"/>
      <c r="H30" s="8" t="n"/>
      <c r="I30" s="8" t="n"/>
    </row>
    <row r="31">
      <c r="D31">
        <f t="array" ref="D31">IF(B31="","",IFERROR(INDEX(KeywordGroupRange,MATCH(TRUE,ISNUMBER(SEARCH(KeywordRange,B31&amp;" "&amp;C31)),0)),""))</f>
        <v/>
      </c>
      <c r="E31">
        <f>IF(B31="","",D31)</f>
        <v/>
      </c>
      <c r="F31" s="8" t="n"/>
      <c r="G31" s="8" t="n"/>
      <c r="H31" s="8" t="n"/>
      <c r="I31" s="8" t="n"/>
    </row>
    <row r="32">
      <c r="D32">
        <f t="array" ref="D32">IF(B32="","",IFERROR(INDEX(KeywordGroupRange,MATCH(TRUE,ISNUMBER(SEARCH(KeywordRange,B32&amp;" "&amp;C32)),0)),""))</f>
        <v/>
      </c>
      <c r="E32">
        <f>IF(B32="","",D32)</f>
        <v/>
      </c>
      <c r="F32" s="8" t="n"/>
      <c r="G32" s="8" t="n"/>
      <c r="H32" s="8" t="n"/>
      <c r="I32" s="8" t="n"/>
    </row>
    <row r="33">
      <c r="D33">
        <f t="array" ref="D33">IF(B33="","",IFERROR(INDEX(KeywordGroupRange,MATCH(TRUE,ISNUMBER(SEARCH(KeywordRange,B33&amp;" "&amp;C33)),0)),""))</f>
        <v/>
      </c>
      <c r="E33">
        <f>IF(B33="","",D33)</f>
        <v/>
      </c>
      <c r="F33" s="8" t="n"/>
      <c r="G33" s="8" t="n"/>
      <c r="H33" s="8" t="n"/>
      <c r="I33" s="8" t="n"/>
    </row>
    <row r="34">
      <c r="D34">
        <f t="array" ref="D34">IF(B34="","",IFERROR(INDEX(KeywordGroupRange,MATCH(TRUE,ISNUMBER(SEARCH(KeywordRange,B34&amp;" "&amp;C34)),0)),""))</f>
        <v/>
      </c>
      <c r="E34">
        <f>IF(B34="","",D34)</f>
        <v/>
      </c>
      <c r="F34" s="8" t="n"/>
      <c r="G34" s="8" t="n"/>
      <c r="H34" s="8" t="n"/>
      <c r="I34" s="8" t="n"/>
    </row>
    <row r="35">
      <c r="D35">
        <f t="array" ref="D35">IF(B35="","",IFERROR(INDEX(KeywordGroupRange,MATCH(TRUE,ISNUMBER(SEARCH(KeywordRange,B35&amp;" "&amp;C35)),0)),""))</f>
        <v/>
      </c>
      <c r="E35">
        <f>IF(B35="","",D35)</f>
        <v/>
      </c>
      <c r="F35" s="8" t="n"/>
      <c r="G35" s="8" t="n"/>
      <c r="H35" s="8" t="n"/>
      <c r="I35" s="8" t="n"/>
    </row>
    <row r="36">
      <c r="D36">
        <f t="array" ref="D36">IF(B36="","",IFERROR(INDEX(KeywordGroupRange,MATCH(TRUE,ISNUMBER(SEARCH(KeywordRange,B36&amp;" "&amp;C36)),0)),""))</f>
        <v/>
      </c>
      <c r="E36">
        <f>IF(B36="","",D36)</f>
        <v/>
      </c>
      <c r="F36" s="8" t="n"/>
      <c r="G36" s="8" t="n"/>
      <c r="H36" s="8" t="n"/>
      <c r="I36" s="8" t="n"/>
    </row>
    <row r="37">
      <c r="D37">
        <f t="array" ref="D37">IF(B37="","",IFERROR(INDEX(KeywordGroupRange,MATCH(TRUE,ISNUMBER(SEARCH(KeywordRange,B37&amp;" "&amp;C37)),0)),""))</f>
        <v/>
      </c>
      <c r="E37">
        <f>IF(B37="","",D37)</f>
        <v/>
      </c>
      <c r="F37" s="8" t="n"/>
      <c r="G37" s="8" t="n"/>
      <c r="H37" s="8" t="n"/>
      <c r="I37" s="8" t="n"/>
    </row>
    <row r="38">
      <c r="D38">
        <f t="array" ref="D38">IF(B38="","",IFERROR(INDEX(KeywordGroupRange,MATCH(TRUE,ISNUMBER(SEARCH(KeywordRange,B38&amp;" "&amp;C38)),0)),""))</f>
        <v/>
      </c>
      <c r="E38">
        <f>IF(B38="","",D38)</f>
        <v/>
      </c>
      <c r="F38" s="8" t="n"/>
      <c r="G38" s="8" t="n"/>
      <c r="H38" s="8" t="n"/>
      <c r="I38" s="8" t="n"/>
    </row>
    <row r="39">
      <c r="D39">
        <f t="array" ref="D39">IF(B39="","",IFERROR(INDEX(KeywordGroupRange,MATCH(TRUE,ISNUMBER(SEARCH(KeywordRange,B39&amp;" "&amp;C39)),0)),""))</f>
        <v/>
      </c>
      <c r="E39">
        <f>IF(B39="","",D39)</f>
        <v/>
      </c>
      <c r="F39" s="8" t="n"/>
      <c r="G39" s="8" t="n"/>
      <c r="H39" s="8" t="n"/>
      <c r="I39" s="8" t="n"/>
    </row>
    <row r="40">
      <c r="D40">
        <f t="array" ref="D40">IF(B40="","",IFERROR(INDEX(KeywordGroupRange,MATCH(TRUE,ISNUMBER(SEARCH(KeywordRange,B40&amp;" "&amp;C40)),0)),""))</f>
        <v/>
      </c>
      <c r="E40">
        <f>IF(B40="","",D40)</f>
        <v/>
      </c>
      <c r="F40" s="8" t="n"/>
      <c r="G40" s="8" t="n"/>
      <c r="H40" s="8" t="n"/>
      <c r="I40" s="8" t="n"/>
    </row>
    <row r="41">
      <c r="D41">
        <f t="array" ref="D41">IF(B41="","",IFERROR(INDEX(KeywordGroupRange,MATCH(TRUE,ISNUMBER(SEARCH(KeywordRange,B41&amp;" "&amp;C41)),0)),""))</f>
        <v/>
      </c>
      <c r="E41">
        <f>IF(B41="","",D41)</f>
        <v/>
      </c>
      <c r="F41" s="8" t="n"/>
      <c r="G41" s="8" t="n"/>
      <c r="H41" s="8" t="n"/>
      <c r="I41" s="8" t="n"/>
    </row>
    <row r="42">
      <c r="D42">
        <f t="array" ref="D42">IF(B42="","",IFERROR(INDEX(KeywordGroupRange,MATCH(TRUE,ISNUMBER(SEARCH(KeywordRange,B42&amp;" "&amp;C42)),0)),""))</f>
        <v/>
      </c>
      <c r="E42">
        <f>IF(B42="","",D42)</f>
        <v/>
      </c>
      <c r="F42" s="8" t="n"/>
      <c r="G42" s="8" t="n"/>
      <c r="H42" s="8" t="n"/>
      <c r="I42" s="8" t="n"/>
    </row>
    <row r="43">
      <c r="D43">
        <f t="array" ref="D43">IF(B43="","",IFERROR(INDEX(KeywordGroupRange,MATCH(TRUE,ISNUMBER(SEARCH(KeywordRange,B43&amp;" "&amp;C43)),0)),""))</f>
        <v/>
      </c>
      <c r="E43">
        <f>IF(B43="","",D43)</f>
        <v/>
      </c>
      <c r="F43" s="8" t="n"/>
      <c r="G43" s="8" t="n"/>
      <c r="H43" s="8" t="n"/>
      <c r="I43" s="8" t="n"/>
    </row>
    <row r="44">
      <c r="D44">
        <f t="array" ref="D44">IF(B44="","",IFERROR(INDEX(KeywordGroupRange,MATCH(TRUE,ISNUMBER(SEARCH(KeywordRange,B44&amp;" "&amp;C44)),0)),""))</f>
        <v/>
      </c>
      <c r="E44">
        <f>IF(B44="","",D44)</f>
        <v/>
      </c>
      <c r="F44" s="8" t="n"/>
      <c r="G44" s="8" t="n"/>
      <c r="H44" s="8" t="n"/>
      <c r="I44" s="8" t="n"/>
    </row>
    <row r="45">
      <c r="D45">
        <f t="array" ref="D45">IF(B45="","",IFERROR(INDEX(KeywordGroupRange,MATCH(TRUE,ISNUMBER(SEARCH(KeywordRange,B45&amp;" "&amp;C45)),0)),""))</f>
        <v/>
      </c>
      <c r="E45">
        <f>IF(B45="","",D45)</f>
        <v/>
      </c>
      <c r="F45" s="8" t="n"/>
      <c r="G45" s="8" t="n"/>
      <c r="H45" s="8" t="n"/>
      <c r="I45" s="8" t="n"/>
    </row>
    <row r="46">
      <c r="D46">
        <f t="array" ref="D46">IF(B46="","",IFERROR(INDEX(KeywordGroupRange,MATCH(TRUE,ISNUMBER(SEARCH(KeywordRange,B46&amp;" "&amp;C46)),0)),""))</f>
        <v/>
      </c>
      <c r="E46">
        <f>IF(B46="","",D46)</f>
        <v/>
      </c>
      <c r="F46" s="8" t="n"/>
      <c r="G46" s="8" t="n"/>
      <c r="H46" s="8" t="n"/>
      <c r="I46" s="8" t="n"/>
    </row>
    <row r="47">
      <c r="D47">
        <f t="array" ref="D47">IF(B47="","",IFERROR(INDEX(KeywordGroupRange,MATCH(TRUE,ISNUMBER(SEARCH(KeywordRange,B47&amp;" "&amp;C47)),0)),""))</f>
        <v/>
      </c>
      <c r="E47">
        <f>IF(B47="","",D47)</f>
        <v/>
      </c>
      <c r="F47" s="8" t="n"/>
      <c r="G47" s="8" t="n"/>
      <c r="H47" s="8" t="n"/>
      <c r="I47" s="8" t="n"/>
    </row>
    <row r="48">
      <c r="D48">
        <f t="array" ref="D48">IF(B48="","",IFERROR(INDEX(KeywordGroupRange,MATCH(TRUE,ISNUMBER(SEARCH(KeywordRange,B48&amp;" "&amp;C48)),0)),""))</f>
        <v/>
      </c>
      <c r="E48">
        <f>IF(B48="","",D48)</f>
        <v/>
      </c>
      <c r="F48" s="8" t="n"/>
      <c r="G48" s="8" t="n"/>
      <c r="H48" s="8" t="n"/>
      <c r="I48" s="8" t="n"/>
    </row>
    <row r="49">
      <c r="D49">
        <f t="array" ref="D49">IF(B49="","",IFERROR(INDEX(KeywordGroupRange,MATCH(TRUE,ISNUMBER(SEARCH(KeywordRange,B49&amp;" "&amp;C49)),0)),""))</f>
        <v/>
      </c>
      <c r="E49">
        <f>IF(B49="","",D49)</f>
        <v/>
      </c>
      <c r="F49" s="8" t="n"/>
      <c r="G49" s="8" t="n"/>
      <c r="H49" s="8" t="n"/>
      <c r="I49" s="8" t="n"/>
    </row>
    <row r="50">
      <c r="D50">
        <f t="array" ref="D50">IF(B50="","",IFERROR(INDEX(KeywordGroupRange,MATCH(TRUE,ISNUMBER(SEARCH(KeywordRange,B50&amp;" "&amp;C50)),0)),""))</f>
        <v/>
      </c>
      <c r="E50">
        <f>IF(B50="","",D50)</f>
        <v/>
      </c>
      <c r="F50" s="8" t="n"/>
      <c r="G50" s="8" t="n"/>
      <c r="H50" s="8" t="n"/>
      <c r="I50" s="8" t="n"/>
    </row>
    <row r="51">
      <c r="D51">
        <f t="array" ref="D51">IF(B51="","",IFERROR(INDEX(KeywordGroupRange,MATCH(TRUE,ISNUMBER(SEARCH(KeywordRange,B51&amp;" "&amp;C51)),0)),""))</f>
        <v/>
      </c>
      <c r="E51">
        <f>IF(B51="","",D51)</f>
        <v/>
      </c>
      <c r="F51" s="8" t="n"/>
      <c r="G51" s="8" t="n"/>
      <c r="H51" s="8" t="n"/>
      <c r="I51" s="8" t="n"/>
    </row>
    <row r="52">
      <c r="D52">
        <f t="array" ref="D52">IF(B52="","",IFERROR(INDEX(KeywordGroupRange,MATCH(TRUE,ISNUMBER(SEARCH(KeywordRange,B52&amp;" "&amp;C52)),0)),""))</f>
        <v/>
      </c>
      <c r="E52">
        <f>IF(B52="","",D52)</f>
        <v/>
      </c>
      <c r="F52" s="8" t="n"/>
      <c r="G52" s="8" t="n"/>
      <c r="H52" s="8" t="n"/>
      <c r="I52" s="8" t="n"/>
    </row>
    <row r="53">
      <c r="D53">
        <f t="array" ref="D53">IF(B53="","",IFERROR(INDEX(KeywordGroupRange,MATCH(TRUE,ISNUMBER(SEARCH(KeywordRange,B53&amp;" "&amp;C53)),0)),""))</f>
        <v/>
      </c>
      <c r="E53">
        <f>IF(B53="","",D53)</f>
        <v/>
      </c>
      <c r="F53" s="8" t="n"/>
      <c r="G53" s="8" t="n"/>
      <c r="H53" s="8" t="n"/>
      <c r="I53" s="8" t="n"/>
    </row>
    <row r="54">
      <c r="D54">
        <f t="array" ref="D54">IF(B54="","",IFERROR(INDEX(KeywordGroupRange,MATCH(TRUE,ISNUMBER(SEARCH(KeywordRange,B54&amp;" "&amp;C54)),0)),""))</f>
        <v/>
      </c>
      <c r="E54">
        <f>IF(B54="","",D54)</f>
        <v/>
      </c>
      <c r="F54" s="8" t="n"/>
      <c r="G54" s="8" t="n"/>
      <c r="H54" s="8" t="n"/>
      <c r="I54" s="8" t="n"/>
    </row>
    <row r="55">
      <c r="D55">
        <f t="array" ref="D55">IF(B55="","",IFERROR(INDEX(KeywordGroupRange,MATCH(TRUE,ISNUMBER(SEARCH(KeywordRange,B55&amp;" "&amp;C55)),0)),""))</f>
        <v/>
      </c>
      <c r="E55">
        <f>IF(B55="","",D55)</f>
        <v/>
      </c>
      <c r="F55" s="8" t="n"/>
      <c r="G55" s="8" t="n"/>
      <c r="H55" s="8" t="n"/>
      <c r="I55" s="8" t="n"/>
    </row>
    <row r="56">
      <c r="D56">
        <f t="array" ref="D56">IF(B56="","",IFERROR(INDEX(KeywordGroupRange,MATCH(TRUE,ISNUMBER(SEARCH(KeywordRange,B56&amp;" "&amp;C56)),0)),""))</f>
        <v/>
      </c>
      <c r="E56">
        <f>IF(B56="","",D56)</f>
        <v/>
      </c>
      <c r="F56" s="8" t="n"/>
      <c r="G56" s="8" t="n"/>
      <c r="H56" s="8" t="n"/>
      <c r="I56" s="8" t="n"/>
    </row>
    <row r="57">
      <c r="D57">
        <f t="array" ref="D57">IF(B57="","",IFERROR(INDEX(KeywordGroupRange,MATCH(TRUE,ISNUMBER(SEARCH(KeywordRange,B57&amp;" "&amp;C57)),0)),""))</f>
        <v/>
      </c>
      <c r="E57">
        <f>IF(B57="","",D57)</f>
        <v/>
      </c>
      <c r="F57" s="8" t="n"/>
      <c r="G57" s="8" t="n"/>
      <c r="H57" s="8" t="n"/>
      <c r="I57" s="8" t="n"/>
    </row>
    <row r="58">
      <c r="D58">
        <f t="array" ref="D58">IF(B58="","",IFERROR(INDEX(KeywordGroupRange,MATCH(TRUE,ISNUMBER(SEARCH(KeywordRange,B58&amp;" "&amp;C58)),0)),""))</f>
        <v/>
      </c>
      <c r="E58">
        <f>IF(B58="","",D58)</f>
        <v/>
      </c>
      <c r="F58" s="8" t="n"/>
      <c r="G58" s="8" t="n"/>
      <c r="H58" s="8" t="n"/>
      <c r="I58" s="8" t="n"/>
    </row>
    <row r="59">
      <c r="D59">
        <f t="array" ref="D59">IF(B59="","",IFERROR(INDEX(KeywordGroupRange,MATCH(TRUE,ISNUMBER(SEARCH(KeywordRange,B59&amp;" "&amp;C59)),0)),""))</f>
        <v/>
      </c>
      <c r="E59">
        <f>IF(B59="","",D59)</f>
        <v/>
      </c>
      <c r="F59" s="8" t="n"/>
      <c r="G59" s="8" t="n"/>
      <c r="H59" s="8" t="n"/>
      <c r="I59" s="8" t="n"/>
    </row>
    <row r="60">
      <c r="D60">
        <f t="array" ref="D60">IF(B60="","",IFERROR(INDEX(KeywordGroupRange,MATCH(TRUE,ISNUMBER(SEARCH(KeywordRange,B60&amp;" "&amp;C60)),0)),""))</f>
        <v/>
      </c>
      <c r="E60">
        <f>IF(B60="","",D60)</f>
        <v/>
      </c>
      <c r="F60" s="8" t="n"/>
      <c r="G60" s="8" t="n"/>
      <c r="H60" s="8" t="n"/>
      <c r="I60" s="8" t="n"/>
    </row>
    <row r="61">
      <c r="D61">
        <f t="array" ref="D61">IF(B61="","",IFERROR(INDEX(KeywordGroupRange,MATCH(TRUE,ISNUMBER(SEARCH(KeywordRange,B61&amp;" "&amp;C61)),0)),""))</f>
        <v/>
      </c>
      <c r="E61">
        <f>IF(B61="","",D61)</f>
        <v/>
      </c>
      <c r="F61" s="8" t="n"/>
      <c r="G61" s="8" t="n"/>
      <c r="H61" s="8" t="n"/>
      <c r="I61" s="8" t="n"/>
    </row>
    <row r="62">
      <c r="D62">
        <f t="array" ref="D62">IF(B62="","",IFERROR(INDEX(KeywordGroupRange,MATCH(TRUE,ISNUMBER(SEARCH(KeywordRange,B62&amp;" "&amp;C62)),0)),""))</f>
        <v/>
      </c>
      <c r="E62">
        <f>IF(B62="","",D62)</f>
        <v/>
      </c>
      <c r="F62" s="8" t="n"/>
      <c r="G62" s="8" t="n"/>
      <c r="H62" s="8" t="n"/>
      <c r="I62" s="8" t="n"/>
    </row>
    <row r="63">
      <c r="D63">
        <f t="array" ref="D63">IF(B63="","",IFERROR(INDEX(KeywordGroupRange,MATCH(TRUE,ISNUMBER(SEARCH(KeywordRange,B63&amp;" "&amp;C63)),0)),""))</f>
        <v/>
      </c>
      <c r="E63">
        <f>IF(B63="","",D63)</f>
        <v/>
      </c>
      <c r="F63" s="8" t="n"/>
      <c r="G63" s="8" t="n"/>
      <c r="H63" s="8" t="n"/>
      <c r="I63" s="8" t="n"/>
    </row>
    <row r="64">
      <c r="D64">
        <f t="array" ref="D64">IF(B64="","",IFERROR(INDEX(KeywordGroupRange,MATCH(TRUE,ISNUMBER(SEARCH(KeywordRange,B64&amp;" "&amp;C64)),0)),""))</f>
        <v/>
      </c>
      <c r="E64">
        <f>IF(B64="","",D64)</f>
        <v/>
      </c>
      <c r="F64" s="8" t="n"/>
      <c r="G64" s="8" t="n"/>
      <c r="H64" s="8" t="n"/>
      <c r="I64" s="8" t="n"/>
    </row>
    <row r="65">
      <c r="D65">
        <f t="array" ref="D65">IF(B65="","",IFERROR(INDEX(KeywordGroupRange,MATCH(TRUE,ISNUMBER(SEARCH(KeywordRange,B65&amp;" "&amp;C65)),0)),""))</f>
        <v/>
      </c>
      <c r="E65">
        <f>IF(B65="","",D65)</f>
        <v/>
      </c>
      <c r="F65" s="8" t="n"/>
      <c r="G65" s="8" t="n"/>
      <c r="H65" s="8" t="n"/>
      <c r="I65" s="8" t="n"/>
    </row>
    <row r="66">
      <c r="D66">
        <f t="array" ref="D66">IF(B66="","",IFERROR(INDEX(KeywordGroupRange,MATCH(TRUE,ISNUMBER(SEARCH(KeywordRange,B66&amp;" "&amp;C66)),0)),""))</f>
        <v/>
      </c>
      <c r="E66">
        <f>IF(B66="","",D66)</f>
        <v/>
      </c>
      <c r="F66" s="8" t="n"/>
      <c r="G66" s="8" t="n"/>
      <c r="H66" s="8" t="n"/>
      <c r="I66" s="8" t="n"/>
    </row>
    <row r="67">
      <c r="D67">
        <f t="array" ref="D67">IF(B67="","",IFERROR(INDEX(KeywordGroupRange,MATCH(TRUE,ISNUMBER(SEARCH(KeywordRange,B67&amp;" "&amp;C67)),0)),""))</f>
        <v/>
      </c>
      <c r="E67">
        <f>IF(B67="","",D67)</f>
        <v/>
      </c>
      <c r="F67" s="8" t="n"/>
      <c r="G67" s="8" t="n"/>
      <c r="H67" s="8" t="n"/>
      <c r="I67" s="8" t="n"/>
    </row>
    <row r="68">
      <c r="D68">
        <f t="array" ref="D68">IF(B68="","",IFERROR(INDEX(KeywordGroupRange,MATCH(TRUE,ISNUMBER(SEARCH(KeywordRange,B68&amp;" "&amp;C68)),0)),""))</f>
        <v/>
      </c>
      <c r="E68">
        <f>IF(B68="","",D68)</f>
        <v/>
      </c>
      <c r="F68" s="8" t="n"/>
      <c r="G68" s="8" t="n"/>
      <c r="H68" s="8" t="n"/>
      <c r="I68" s="8" t="n"/>
    </row>
    <row r="69">
      <c r="D69">
        <f t="array" ref="D69">IF(B69="","",IFERROR(INDEX(KeywordGroupRange,MATCH(TRUE,ISNUMBER(SEARCH(KeywordRange,B69&amp;" "&amp;C69)),0)),""))</f>
        <v/>
      </c>
      <c r="E69">
        <f>IF(B69="","",D69)</f>
        <v/>
      </c>
      <c r="F69" s="8" t="n"/>
      <c r="G69" s="8" t="n"/>
      <c r="H69" s="8" t="n"/>
      <c r="I69" s="8" t="n"/>
    </row>
    <row r="70">
      <c r="D70">
        <f t="array" ref="D70">IF(B70="","",IFERROR(INDEX(KeywordGroupRange,MATCH(TRUE,ISNUMBER(SEARCH(KeywordRange,B70&amp;" "&amp;C70)),0)),""))</f>
        <v/>
      </c>
      <c r="E70">
        <f>IF(B70="","",D70)</f>
        <v/>
      </c>
      <c r="F70" s="8" t="n"/>
      <c r="G70" s="8" t="n"/>
      <c r="H70" s="8" t="n"/>
      <c r="I70" s="8" t="n"/>
    </row>
    <row r="71">
      <c r="D71">
        <f t="array" ref="D71">IF(B71="","",IFERROR(INDEX(KeywordGroupRange,MATCH(TRUE,ISNUMBER(SEARCH(KeywordRange,B71&amp;" "&amp;C71)),0)),""))</f>
        <v/>
      </c>
      <c r="E71">
        <f>IF(B71="","",D71)</f>
        <v/>
      </c>
      <c r="F71" s="8" t="n"/>
      <c r="G71" s="8" t="n"/>
      <c r="H71" s="8" t="n"/>
      <c r="I71" s="8" t="n"/>
    </row>
    <row r="72">
      <c r="D72">
        <f t="array" ref="D72">IF(B72="","",IFERROR(INDEX(KeywordGroupRange,MATCH(TRUE,ISNUMBER(SEARCH(KeywordRange,B72&amp;" "&amp;C72)),0)),""))</f>
        <v/>
      </c>
      <c r="E72">
        <f>IF(B72="","",D72)</f>
        <v/>
      </c>
      <c r="F72" s="8" t="n"/>
      <c r="G72" s="8" t="n"/>
      <c r="H72" s="8" t="n"/>
      <c r="I72" s="8" t="n"/>
    </row>
    <row r="73">
      <c r="D73">
        <f t="array" ref="D73">IF(B73="","",IFERROR(INDEX(KeywordGroupRange,MATCH(TRUE,ISNUMBER(SEARCH(KeywordRange,B73&amp;" "&amp;C73)),0)),""))</f>
        <v/>
      </c>
      <c r="E73">
        <f>IF(B73="","",D73)</f>
        <v/>
      </c>
      <c r="F73" s="8" t="n"/>
      <c r="G73" s="8" t="n"/>
      <c r="H73" s="8" t="n"/>
      <c r="I73" s="8" t="n"/>
    </row>
    <row r="74">
      <c r="D74">
        <f t="array" ref="D74">IF(B74="","",IFERROR(INDEX(KeywordGroupRange,MATCH(TRUE,ISNUMBER(SEARCH(KeywordRange,B74&amp;" "&amp;C74)),0)),""))</f>
        <v/>
      </c>
      <c r="E74">
        <f>IF(B74="","",D74)</f>
        <v/>
      </c>
      <c r="F74" s="8" t="n"/>
      <c r="G74" s="8" t="n"/>
      <c r="H74" s="8" t="n"/>
      <c r="I74" s="8" t="n"/>
    </row>
    <row r="75">
      <c r="D75">
        <f t="array" ref="D75">IF(B75="","",IFERROR(INDEX(KeywordGroupRange,MATCH(TRUE,ISNUMBER(SEARCH(KeywordRange,B75&amp;" "&amp;C75)),0)),""))</f>
        <v/>
      </c>
      <c r="E75">
        <f>IF(B75="","",D75)</f>
        <v/>
      </c>
      <c r="F75" s="8" t="n"/>
      <c r="G75" s="8" t="n"/>
      <c r="H75" s="8" t="n"/>
      <c r="I75" s="8" t="n"/>
    </row>
    <row r="76">
      <c r="D76">
        <f t="array" ref="D76">IF(B76="","",IFERROR(INDEX(KeywordGroupRange,MATCH(TRUE,ISNUMBER(SEARCH(KeywordRange,B76&amp;" "&amp;C76)),0)),""))</f>
        <v/>
      </c>
      <c r="E76">
        <f>IF(B76="","",D76)</f>
        <v/>
      </c>
      <c r="F76" s="8" t="n"/>
      <c r="G76" s="8" t="n"/>
      <c r="H76" s="8" t="n"/>
      <c r="I76" s="8" t="n"/>
    </row>
    <row r="77">
      <c r="D77">
        <f t="array" ref="D77">IF(B77="","",IFERROR(INDEX(KeywordGroupRange,MATCH(TRUE,ISNUMBER(SEARCH(KeywordRange,B77&amp;" "&amp;C77)),0)),""))</f>
        <v/>
      </c>
      <c r="E77">
        <f>IF(B77="","",D77)</f>
        <v/>
      </c>
      <c r="F77" s="8" t="n"/>
      <c r="G77" s="8" t="n"/>
      <c r="H77" s="8" t="n"/>
      <c r="I77" s="8" t="n"/>
    </row>
    <row r="78">
      <c r="D78">
        <f t="array" ref="D78">IF(B78="","",IFERROR(INDEX(KeywordGroupRange,MATCH(TRUE,ISNUMBER(SEARCH(KeywordRange,B78&amp;" "&amp;C78)),0)),""))</f>
        <v/>
      </c>
      <c r="E78">
        <f>IF(B78="","",D78)</f>
        <v/>
      </c>
      <c r="F78" s="8" t="n"/>
      <c r="G78" s="8" t="n"/>
      <c r="H78" s="8" t="n"/>
      <c r="I78" s="8" t="n"/>
    </row>
    <row r="79">
      <c r="D79">
        <f t="array" ref="D79">IF(B79="","",IFERROR(INDEX(KeywordGroupRange,MATCH(TRUE,ISNUMBER(SEARCH(KeywordRange,B79&amp;" "&amp;C79)),0)),""))</f>
        <v/>
      </c>
      <c r="E79">
        <f>IF(B79="","",D79)</f>
        <v/>
      </c>
      <c r="F79" s="8" t="n"/>
      <c r="G79" s="8" t="n"/>
      <c r="H79" s="8" t="n"/>
      <c r="I79" s="8" t="n"/>
    </row>
    <row r="80">
      <c r="D80">
        <f t="array" ref="D80">IF(B80="","",IFERROR(INDEX(KeywordGroupRange,MATCH(TRUE,ISNUMBER(SEARCH(KeywordRange,B80&amp;" "&amp;C80)),0)),""))</f>
        <v/>
      </c>
      <c r="E80">
        <f>IF(B80="","",D80)</f>
        <v/>
      </c>
      <c r="F80" s="8" t="n"/>
      <c r="G80" s="8" t="n"/>
      <c r="H80" s="8" t="n"/>
      <c r="I80" s="8" t="n"/>
    </row>
    <row r="81">
      <c r="D81">
        <f t="array" ref="D81">IF(B81="","",IFERROR(INDEX(KeywordGroupRange,MATCH(TRUE,ISNUMBER(SEARCH(KeywordRange,B81&amp;" "&amp;C81)),0)),""))</f>
        <v/>
      </c>
      <c r="E81">
        <f>IF(B81="","",D81)</f>
        <v/>
      </c>
      <c r="F81" s="8" t="n"/>
      <c r="G81" s="8" t="n"/>
      <c r="H81" s="8" t="n"/>
      <c r="I81" s="8" t="n"/>
    </row>
    <row r="82">
      <c r="D82">
        <f t="array" ref="D82">IF(B82="","",IFERROR(INDEX(KeywordGroupRange,MATCH(TRUE,ISNUMBER(SEARCH(KeywordRange,B82&amp;" "&amp;C82)),0)),""))</f>
        <v/>
      </c>
      <c r="E82">
        <f>IF(B82="","",D82)</f>
        <v/>
      </c>
      <c r="F82" s="8" t="n"/>
      <c r="G82" s="8" t="n"/>
      <c r="H82" s="8" t="n"/>
      <c r="I82" s="8" t="n"/>
    </row>
    <row r="83">
      <c r="D83">
        <f t="array" ref="D83">IF(B83="","",IFERROR(INDEX(KeywordGroupRange,MATCH(TRUE,ISNUMBER(SEARCH(KeywordRange,B83&amp;" "&amp;C83)),0)),""))</f>
        <v/>
      </c>
      <c r="E83">
        <f>IF(B83="","",D83)</f>
        <v/>
      </c>
      <c r="F83" s="8" t="n"/>
      <c r="G83" s="8" t="n"/>
      <c r="H83" s="8" t="n"/>
      <c r="I83" s="8" t="n"/>
    </row>
    <row r="84">
      <c r="D84">
        <f t="array" ref="D84">IF(B84="","",IFERROR(INDEX(KeywordGroupRange,MATCH(TRUE,ISNUMBER(SEARCH(KeywordRange,B84&amp;" "&amp;C84)),0)),""))</f>
        <v/>
      </c>
      <c r="E84">
        <f>IF(B84="","",D84)</f>
        <v/>
      </c>
      <c r="F84" s="8" t="n"/>
      <c r="G84" s="8" t="n"/>
      <c r="H84" s="8" t="n"/>
      <c r="I84" s="8" t="n"/>
    </row>
    <row r="85">
      <c r="D85">
        <f t="array" ref="D85">IF(B85="","",IFERROR(INDEX(KeywordGroupRange,MATCH(TRUE,ISNUMBER(SEARCH(KeywordRange,B85&amp;" "&amp;C85)),0)),""))</f>
        <v/>
      </c>
      <c r="E85">
        <f>IF(B85="","",D85)</f>
        <v/>
      </c>
      <c r="F85" s="8" t="n"/>
      <c r="G85" s="8" t="n"/>
      <c r="H85" s="8" t="n"/>
      <c r="I85" s="8" t="n"/>
    </row>
    <row r="86">
      <c r="D86">
        <f t="array" ref="D86">IF(B86="","",IFERROR(INDEX(KeywordGroupRange,MATCH(TRUE,ISNUMBER(SEARCH(KeywordRange,B86&amp;" "&amp;C86)),0)),""))</f>
        <v/>
      </c>
      <c r="E86">
        <f>IF(B86="","",D86)</f>
        <v/>
      </c>
      <c r="F86" s="8" t="n"/>
      <c r="G86" s="8" t="n"/>
      <c r="H86" s="8" t="n"/>
      <c r="I86" s="8" t="n"/>
    </row>
    <row r="87">
      <c r="D87">
        <f t="array" ref="D87">IF(B87="","",IFERROR(INDEX(KeywordGroupRange,MATCH(TRUE,ISNUMBER(SEARCH(KeywordRange,B87&amp;" "&amp;C87)),0)),""))</f>
        <v/>
      </c>
      <c r="E87">
        <f>IF(B87="","",D87)</f>
        <v/>
      </c>
      <c r="F87" s="8" t="n"/>
      <c r="G87" s="8" t="n"/>
      <c r="H87" s="8" t="n"/>
      <c r="I87" s="8" t="n"/>
    </row>
    <row r="88">
      <c r="D88">
        <f t="array" ref="D88">IF(B88="","",IFERROR(INDEX(KeywordGroupRange,MATCH(TRUE,ISNUMBER(SEARCH(KeywordRange,B88&amp;" "&amp;C88)),0)),""))</f>
        <v/>
      </c>
      <c r="E88">
        <f>IF(B88="","",D88)</f>
        <v/>
      </c>
      <c r="F88" s="8" t="n"/>
      <c r="G88" s="8" t="n"/>
      <c r="H88" s="8" t="n"/>
      <c r="I88" s="8" t="n"/>
    </row>
    <row r="89">
      <c r="D89">
        <f t="array" ref="D89">IF(B89="","",IFERROR(INDEX(KeywordGroupRange,MATCH(TRUE,ISNUMBER(SEARCH(KeywordRange,B89&amp;" "&amp;C89)),0)),""))</f>
        <v/>
      </c>
      <c r="E89">
        <f>IF(B89="","",D89)</f>
        <v/>
      </c>
      <c r="F89" s="8" t="n"/>
      <c r="G89" s="8" t="n"/>
      <c r="H89" s="8" t="n"/>
      <c r="I89" s="8" t="n"/>
    </row>
    <row r="90">
      <c r="D90">
        <f t="array" ref="D90">IF(B90="","",IFERROR(INDEX(KeywordGroupRange,MATCH(TRUE,ISNUMBER(SEARCH(KeywordRange,B90&amp;" "&amp;C90)),0)),""))</f>
        <v/>
      </c>
      <c r="E90">
        <f>IF(B90="","",D90)</f>
        <v/>
      </c>
      <c r="F90" s="8" t="n"/>
      <c r="G90" s="8" t="n"/>
      <c r="H90" s="8" t="n"/>
      <c r="I90" s="8" t="n"/>
    </row>
    <row r="91">
      <c r="D91">
        <f t="array" ref="D91">IF(B91="","",IFERROR(INDEX(KeywordGroupRange,MATCH(TRUE,ISNUMBER(SEARCH(KeywordRange,B91&amp;" "&amp;C91)),0)),""))</f>
        <v/>
      </c>
      <c r="E91">
        <f>IF(B91="","",D91)</f>
        <v/>
      </c>
      <c r="F91" s="8" t="n"/>
      <c r="G91" s="8" t="n"/>
      <c r="H91" s="8" t="n"/>
      <c r="I91" s="8" t="n"/>
    </row>
    <row r="92">
      <c r="D92">
        <f t="array" ref="D92">IF(B92="","",IFERROR(INDEX(KeywordGroupRange,MATCH(TRUE,ISNUMBER(SEARCH(KeywordRange,B92&amp;" "&amp;C92)),0)),""))</f>
        <v/>
      </c>
      <c r="E92">
        <f>IF(B92="","",D92)</f>
        <v/>
      </c>
      <c r="F92" s="8" t="n"/>
      <c r="G92" s="8" t="n"/>
      <c r="H92" s="8" t="n"/>
      <c r="I92" s="8" t="n"/>
    </row>
    <row r="93">
      <c r="D93">
        <f t="array" ref="D93">IF(B93="","",IFERROR(INDEX(KeywordGroupRange,MATCH(TRUE,ISNUMBER(SEARCH(KeywordRange,B93&amp;" "&amp;C93)),0)),""))</f>
        <v/>
      </c>
      <c r="E93">
        <f>IF(B93="","",D93)</f>
        <v/>
      </c>
      <c r="F93" s="8" t="n"/>
      <c r="G93" s="8" t="n"/>
      <c r="H93" s="8" t="n"/>
      <c r="I93" s="8" t="n"/>
    </row>
    <row r="94">
      <c r="D94">
        <f t="array" ref="D94">IF(B94="","",IFERROR(INDEX(KeywordGroupRange,MATCH(TRUE,ISNUMBER(SEARCH(KeywordRange,B94&amp;" "&amp;C94)),0)),""))</f>
        <v/>
      </c>
      <c r="E94">
        <f>IF(B94="","",D94)</f>
        <v/>
      </c>
      <c r="F94" s="8" t="n"/>
      <c r="G94" s="8" t="n"/>
      <c r="H94" s="8" t="n"/>
      <c r="I94" s="8" t="n"/>
    </row>
    <row r="95">
      <c r="D95">
        <f t="array" ref="D95">IF(B95="","",IFERROR(INDEX(KeywordGroupRange,MATCH(TRUE,ISNUMBER(SEARCH(KeywordRange,B95&amp;" "&amp;C95)),0)),""))</f>
        <v/>
      </c>
      <c r="E95">
        <f>IF(B95="","",D95)</f>
        <v/>
      </c>
      <c r="F95" s="8" t="n"/>
      <c r="G95" s="8" t="n"/>
      <c r="H95" s="8" t="n"/>
      <c r="I95" s="8" t="n"/>
    </row>
    <row r="96">
      <c r="D96">
        <f t="array" ref="D96">IF(B96="","",IFERROR(INDEX(KeywordGroupRange,MATCH(TRUE,ISNUMBER(SEARCH(KeywordRange,B96&amp;" "&amp;C96)),0)),""))</f>
        <v/>
      </c>
      <c r="E96">
        <f>IF(B96="","",D96)</f>
        <v/>
      </c>
      <c r="F96" s="8" t="n"/>
      <c r="G96" s="8" t="n"/>
      <c r="H96" s="8" t="n"/>
      <c r="I96" s="8" t="n"/>
    </row>
    <row r="97">
      <c r="D97">
        <f t="array" ref="D97">IF(B97="","",IFERROR(INDEX(KeywordGroupRange,MATCH(TRUE,ISNUMBER(SEARCH(KeywordRange,B97&amp;" "&amp;C97)),0)),""))</f>
        <v/>
      </c>
      <c r="E97">
        <f>IF(B97="","",D97)</f>
        <v/>
      </c>
      <c r="F97" s="8" t="n"/>
      <c r="G97" s="8" t="n"/>
      <c r="H97" s="8" t="n"/>
      <c r="I97" s="8" t="n"/>
    </row>
    <row r="98">
      <c r="D98">
        <f t="array" ref="D98">IF(B98="","",IFERROR(INDEX(KeywordGroupRange,MATCH(TRUE,ISNUMBER(SEARCH(KeywordRange,B98&amp;" "&amp;C98)),0)),""))</f>
        <v/>
      </c>
      <c r="E98">
        <f>IF(B98="","",D98)</f>
        <v/>
      </c>
      <c r="F98" s="8" t="n"/>
      <c r="G98" s="8" t="n"/>
      <c r="H98" s="8" t="n"/>
      <c r="I98" s="8" t="n"/>
    </row>
    <row r="99">
      <c r="D99">
        <f t="array" ref="D99">IF(B99="","",IFERROR(INDEX(KeywordGroupRange,MATCH(TRUE,ISNUMBER(SEARCH(KeywordRange,B99&amp;" "&amp;C99)),0)),""))</f>
        <v/>
      </c>
      <c r="E99">
        <f>IF(B99="","",D99)</f>
        <v/>
      </c>
      <c r="F99" s="8" t="n"/>
      <c r="G99" s="8" t="n"/>
      <c r="H99" s="8" t="n"/>
      <c r="I99" s="8" t="n"/>
    </row>
    <row r="100">
      <c r="D100">
        <f t="array" ref="D100">IF(B100="","",IFERROR(INDEX(KeywordGroupRange,MATCH(TRUE,ISNUMBER(SEARCH(KeywordRange,B100&amp;" "&amp;C100)),0)),""))</f>
        <v/>
      </c>
      <c r="E100">
        <f>IF(B100="","",D100)</f>
        <v/>
      </c>
      <c r="F100" s="8" t="n"/>
      <c r="G100" s="8" t="n"/>
      <c r="H100" s="8" t="n"/>
      <c r="I100" s="8" t="n"/>
    </row>
    <row r="101">
      <c r="D101">
        <f t="array" ref="D101">IF(B101="","",IFERROR(INDEX(KeywordGroupRange,MATCH(TRUE,ISNUMBER(SEARCH(KeywordRange,B101&amp;" "&amp;C101)),0)),""))</f>
        <v/>
      </c>
      <c r="E101">
        <f>IF(B101="","",D101)</f>
        <v/>
      </c>
      <c r="F101" s="8" t="n"/>
      <c r="G101" s="8" t="n"/>
      <c r="H101" s="8" t="n"/>
      <c r="I101" s="8" t="n"/>
    </row>
    <row r="102">
      <c r="D102">
        <f t="array" ref="D102">IF(B102="","",IFERROR(INDEX(KeywordGroupRange,MATCH(TRUE,ISNUMBER(SEARCH(KeywordRange,B102&amp;" "&amp;C102)),0)),""))</f>
        <v/>
      </c>
      <c r="E102">
        <f>IF(B102="","",D102)</f>
        <v/>
      </c>
      <c r="F102" s="8" t="n"/>
      <c r="G102" s="8" t="n"/>
      <c r="H102" s="8" t="n"/>
      <c r="I102" s="8" t="n"/>
    </row>
    <row r="103">
      <c r="D103">
        <f t="array" ref="D103">IF(B103="","",IFERROR(INDEX(KeywordGroupRange,MATCH(TRUE,ISNUMBER(SEARCH(KeywordRange,B103&amp;" "&amp;C103)),0)),""))</f>
        <v/>
      </c>
      <c r="E103">
        <f>IF(B103="","",D103)</f>
        <v/>
      </c>
      <c r="F103" s="8" t="n"/>
      <c r="G103" s="8" t="n"/>
      <c r="H103" s="8" t="n"/>
      <c r="I103" s="8" t="n"/>
    </row>
    <row r="104">
      <c r="D104">
        <f t="array" ref="D104">IF(B104="","",IFERROR(INDEX(KeywordGroupRange,MATCH(TRUE,ISNUMBER(SEARCH(KeywordRange,B104&amp;" "&amp;C104)),0)),""))</f>
        <v/>
      </c>
      <c r="E104">
        <f>IF(B104="","",D104)</f>
        <v/>
      </c>
      <c r="F104" s="8" t="n"/>
      <c r="G104" s="8" t="n"/>
      <c r="H104" s="8" t="n"/>
      <c r="I104" s="8" t="n"/>
    </row>
    <row r="105">
      <c r="D105">
        <f t="array" ref="D105">IF(B105="","",IFERROR(INDEX(KeywordGroupRange,MATCH(TRUE,ISNUMBER(SEARCH(KeywordRange,B105&amp;" "&amp;C105)),0)),""))</f>
        <v/>
      </c>
      <c r="E105">
        <f>IF(B105="","",D105)</f>
        <v/>
      </c>
      <c r="F105" s="8" t="n"/>
      <c r="G105" s="8" t="n"/>
      <c r="H105" s="8" t="n"/>
      <c r="I105" s="8" t="n"/>
    </row>
    <row r="106">
      <c r="D106">
        <f t="array" ref="D106">IF(B106="","",IFERROR(INDEX(KeywordGroupRange,MATCH(TRUE,ISNUMBER(SEARCH(KeywordRange,B106&amp;" "&amp;C106)),0)),""))</f>
        <v/>
      </c>
      <c r="E106">
        <f>IF(B106="","",D106)</f>
        <v/>
      </c>
      <c r="F106" s="8" t="n"/>
      <c r="G106" s="8" t="n"/>
      <c r="H106" s="8" t="n"/>
      <c r="I106" s="8" t="n"/>
    </row>
    <row r="107">
      <c r="D107">
        <f t="array" ref="D107">IF(B107="","",IFERROR(INDEX(KeywordGroupRange,MATCH(TRUE,ISNUMBER(SEARCH(KeywordRange,B107&amp;" "&amp;C107)),0)),""))</f>
        <v/>
      </c>
      <c r="E107">
        <f>IF(B107="","",D107)</f>
        <v/>
      </c>
      <c r="F107" s="8" t="n"/>
      <c r="G107" s="8" t="n"/>
      <c r="H107" s="8" t="n"/>
      <c r="I107" s="8" t="n"/>
    </row>
    <row r="108">
      <c r="D108">
        <f t="array" ref="D108">IF(B108="","",IFERROR(INDEX(KeywordGroupRange,MATCH(TRUE,ISNUMBER(SEARCH(KeywordRange,B108&amp;" "&amp;C108)),0)),""))</f>
        <v/>
      </c>
      <c r="E108">
        <f>IF(B108="","",D108)</f>
        <v/>
      </c>
      <c r="F108" s="8" t="n"/>
      <c r="G108" s="8" t="n"/>
      <c r="H108" s="8" t="n"/>
      <c r="I108" s="8" t="n"/>
    </row>
    <row r="109">
      <c r="D109">
        <f t="array" ref="D109">IF(B109="","",IFERROR(INDEX(KeywordGroupRange,MATCH(TRUE,ISNUMBER(SEARCH(KeywordRange,B109&amp;" "&amp;C109)),0)),""))</f>
        <v/>
      </c>
      <c r="E109">
        <f>IF(B109="","",D109)</f>
        <v/>
      </c>
      <c r="F109" s="8" t="n"/>
      <c r="G109" s="8" t="n"/>
      <c r="H109" s="8" t="n"/>
      <c r="I109" s="8" t="n"/>
    </row>
    <row r="110">
      <c r="D110">
        <f t="array" ref="D110">IF(B110="","",IFERROR(INDEX(KeywordGroupRange,MATCH(TRUE,ISNUMBER(SEARCH(KeywordRange,B110&amp;" "&amp;C110)),0)),""))</f>
        <v/>
      </c>
      <c r="E110">
        <f>IF(B110="","",D110)</f>
        <v/>
      </c>
      <c r="F110" s="8" t="n"/>
      <c r="G110" s="8" t="n"/>
      <c r="H110" s="8" t="n"/>
      <c r="I110" s="8" t="n"/>
    </row>
    <row r="111">
      <c r="D111">
        <f t="array" ref="D111">IF(B111="","",IFERROR(INDEX(KeywordGroupRange,MATCH(TRUE,ISNUMBER(SEARCH(KeywordRange,B111&amp;" "&amp;C111)),0)),""))</f>
        <v/>
      </c>
      <c r="E111">
        <f>IF(B111="","",D111)</f>
        <v/>
      </c>
      <c r="F111" s="8" t="n"/>
      <c r="G111" s="8" t="n"/>
      <c r="H111" s="8" t="n"/>
      <c r="I111" s="8" t="n"/>
    </row>
    <row r="112">
      <c r="D112">
        <f t="array" ref="D112">IF(B112="","",IFERROR(INDEX(KeywordGroupRange,MATCH(TRUE,ISNUMBER(SEARCH(KeywordRange,B112&amp;" "&amp;C112)),0)),""))</f>
        <v/>
      </c>
      <c r="E112">
        <f>IF(B112="","",D112)</f>
        <v/>
      </c>
      <c r="F112" s="8" t="n"/>
      <c r="G112" s="8" t="n"/>
      <c r="H112" s="8" t="n"/>
      <c r="I112" s="8" t="n"/>
    </row>
    <row r="113">
      <c r="D113">
        <f t="array" ref="D113">IF(B113="","",IFERROR(INDEX(KeywordGroupRange,MATCH(TRUE,ISNUMBER(SEARCH(KeywordRange,B113&amp;" "&amp;C113)),0)),""))</f>
        <v/>
      </c>
      <c r="E113">
        <f>IF(B113="","",D113)</f>
        <v/>
      </c>
      <c r="F113" s="8" t="n"/>
      <c r="G113" s="8" t="n"/>
      <c r="H113" s="8" t="n"/>
      <c r="I113" s="8" t="n"/>
    </row>
    <row r="114">
      <c r="D114">
        <f t="array" ref="D114">IF(B114="","",IFERROR(INDEX(KeywordGroupRange,MATCH(TRUE,ISNUMBER(SEARCH(KeywordRange,B114&amp;" "&amp;C114)),0)),""))</f>
        <v/>
      </c>
      <c r="E114">
        <f>IF(B114="","",D114)</f>
        <v/>
      </c>
      <c r="F114" s="8" t="n"/>
      <c r="G114" s="8" t="n"/>
      <c r="H114" s="8" t="n"/>
      <c r="I114" s="8" t="n"/>
    </row>
    <row r="115">
      <c r="D115">
        <f t="array" ref="D115">IF(B115="","",IFERROR(INDEX(KeywordGroupRange,MATCH(TRUE,ISNUMBER(SEARCH(KeywordRange,B115&amp;" "&amp;C115)),0)),""))</f>
        <v/>
      </c>
      <c r="E115">
        <f>IF(B115="","",D115)</f>
        <v/>
      </c>
      <c r="F115" s="8" t="n"/>
      <c r="G115" s="8" t="n"/>
      <c r="H115" s="8" t="n"/>
      <c r="I115" s="8" t="n"/>
    </row>
    <row r="116">
      <c r="D116">
        <f t="array" ref="D116">IF(B116="","",IFERROR(INDEX(KeywordGroupRange,MATCH(TRUE,ISNUMBER(SEARCH(KeywordRange,B116&amp;" "&amp;C116)),0)),""))</f>
        <v/>
      </c>
      <c r="E116">
        <f>IF(B116="","",D116)</f>
        <v/>
      </c>
      <c r="F116" s="8" t="n"/>
      <c r="G116" s="8" t="n"/>
      <c r="H116" s="8" t="n"/>
      <c r="I116" s="8" t="n"/>
    </row>
    <row r="117">
      <c r="D117">
        <f t="array" ref="D117">IF(B117="","",IFERROR(INDEX(KeywordGroupRange,MATCH(TRUE,ISNUMBER(SEARCH(KeywordRange,B117&amp;" "&amp;C117)),0)),""))</f>
        <v/>
      </c>
      <c r="E117">
        <f>IF(B117="","",D117)</f>
        <v/>
      </c>
      <c r="F117" s="8" t="n"/>
      <c r="G117" s="8" t="n"/>
      <c r="H117" s="8" t="n"/>
      <c r="I117" s="8" t="n"/>
    </row>
    <row r="118">
      <c r="D118">
        <f t="array" ref="D118">IF(B118="","",IFERROR(INDEX(KeywordGroupRange,MATCH(TRUE,ISNUMBER(SEARCH(KeywordRange,B118&amp;" "&amp;C118)),0)),""))</f>
        <v/>
      </c>
      <c r="E118">
        <f>IF(B118="","",D118)</f>
        <v/>
      </c>
      <c r="F118" s="8" t="n"/>
      <c r="G118" s="8" t="n"/>
      <c r="H118" s="8" t="n"/>
      <c r="I118" s="8" t="n"/>
    </row>
    <row r="119">
      <c r="D119">
        <f t="array" ref="D119">IF(B119="","",IFERROR(INDEX(KeywordGroupRange,MATCH(TRUE,ISNUMBER(SEARCH(KeywordRange,B119&amp;" "&amp;C119)),0)),""))</f>
        <v/>
      </c>
      <c r="E119">
        <f>IF(B119="","",D119)</f>
        <v/>
      </c>
      <c r="F119" s="8" t="n"/>
      <c r="G119" s="8" t="n"/>
      <c r="H119" s="8" t="n"/>
      <c r="I119" s="8" t="n"/>
    </row>
    <row r="120">
      <c r="D120">
        <f t="array" ref="D120">IF(B120="","",IFERROR(INDEX(KeywordGroupRange,MATCH(TRUE,ISNUMBER(SEARCH(KeywordRange,B120&amp;" "&amp;C120)),0)),""))</f>
        <v/>
      </c>
      <c r="E120">
        <f>IF(B120="","",D120)</f>
        <v/>
      </c>
      <c r="F120" s="8" t="n"/>
      <c r="G120" s="8" t="n"/>
      <c r="H120" s="8" t="n"/>
      <c r="I120" s="8" t="n"/>
    </row>
    <row r="121">
      <c r="D121">
        <f t="array" ref="D121">IF(B121="","",IFERROR(INDEX(KeywordGroupRange,MATCH(TRUE,ISNUMBER(SEARCH(KeywordRange,B121&amp;" "&amp;C121)),0)),""))</f>
        <v/>
      </c>
      <c r="E121">
        <f>IF(B121="","",D121)</f>
        <v/>
      </c>
      <c r="F121" s="8" t="n"/>
      <c r="G121" s="8" t="n"/>
      <c r="H121" s="8" t="n"/>
      <c r="I121" s="8" t="n"/>
    </row>
    <row r="122">
      <c r="D122">
        <f t="array" ref="D122">IF(B122="","",IFERROR(INDEX(KeywordGroupRange,MATCH(TRUE,ISNUMBER(SEARCH(KeywordRange,B122&amp;" "&amp;C122)),0)),""))</f>
        <v/>
      </c>
      <c r="E122">
        <f>IF(B122="","",D122)</f>
        <v/>
      </c>
      <c r="F122" s="8" t="n"/>
      <c r="G122" s="8" t="n"/>
      <c r="H122" s="8" t="n"/>
      <c r="I122" s="8" t="n"/>
    </row>
    <row r="123">
      <c r="D123">
        <f t="array" ref="D123">IF(B123="","",IFERROR(INDEX(KeywordGroupRange,MATCH(TRUE,ISNUMBER(SEARCH(KeywordRange,B123&amp;" "&amp;C123)),0)),""))</f>
        <v/>
      </c>
      <c r="E123">
        <f>IF(B123="","",D123)</f>
        <v/>
      </c>
      <c r="F123" s="8" t="n"/>
      <c r="G123" s="8" t="n"/>
      <c r="H123" s="8" t="n"/>
      <c r="I123" s="8" t="n"/>
    </row>
    <row r="124">
      <c r="D124">
        <f t="array" ref="D124">IF(B124="","",IFERROR(INDEX(KeywordGroupRange,MATCH(TRUE,ISNUMBER(SEARCH(KeywordRange,B124&amp;" "&amp;C124)),0)),""))</f>
        <v/>
      </c>
      <c r="E124">
        <f>IF(B124="","",D124)</f>
        <v/>
      </c>
      <c r="F124" s="8" t="n"/>
      <c r="G124" s="8" t="n"/>
      <c r="H124" s="8" t="n"/>
      <c r="I124" s="8" t="n"/>
    </row>
    <row r="125">
      <c r="D125">
        <f t="array" ref="D125">IF(B125="","",IFERROR(INDEX(KeywordGroupRange,MATCH(TRUE,ISNUMBER(SEARCH(KeywordRange,B125&amp;" "&amp;C125)),0)),""))</f>
        <v/>
      </c>
      <c r="E125">
        <f>IF(B125="","",D125)</f>
        <v/>
      </c>
      <c r="F125" s="8" t="n"/>
      <c r="G125" s="8" t="n"/>
      <c r="H125" s="8" t="n"/>
      <c r="I125" s="8" t="n"/>
    </row>
    <row r="126">
      <c r="D126">
        <f t="array" ref="D126">IF(B126="","",IFERROR(INDEX(KeywordGroupRange,MATCH(TRUE,ISNUMBER(SEARCH(KeywordRange,B126&amp;" "&amp;C126)),0)),""))</f>
        <v/>
      </c>
      <c r="E126">
        <f>IF(B126="","",D126)</f>
        <v/>
      </c>
      <c r="F126" s="8" t="n"/>
      <c r="G126" s="8" t="n"/>
      <c r="H126" s="8" t="n"/>
      <c r="I126" s="8" t="n"/>
    </row>
    <row r="127">
      <c r="D127">
        <f t="array" ref="D127">IF(B127="","",IFERROR(INDEX(KeywordGroupRange,MATCH(TRUE,ISNUMBER(SEARCH(KeywordRange,B127&amp;" "&amp;C127)),0)),""))</f>
        <v/>
      </c>
      <c r="E127">
        <f>IF(B127="","",D127)</f>
        <v/>
      </c>
      <c r="F127" s="8" t="n"/>
      <c r="G127" s="8" t="n"/>
      <c r="H127" s="8" t="n"/>
      <c r="I127" s="8" t="n"/>
    </row>
    <row r="128">
      <c r="D128">
        <f t="array" ref="D128">IF(B128="","",IFERROR(INDEX(KeywordGroupRange,MATCH(TRUE,ISNUMBER(SEARCH(KeywordRange,B128&amp;" "&amp;C128)),0)),""))</f>
        <v/>
      </c>
      <c r="E128">
        <f>IF(B128="","",D128)</f>
        <v/>
      </c>
      <c r="F128" s="8" t="n"/>
      <c r="G128" s="8" t="n"/>
      <c r="H128" s="8" t="n"/>
      <c r="I128" s="8" t="n"/>
    </row>
    <row r="129">
      <c r="D129">
        <f t="array" ref="D129">IF(B129="","",IFERROR(INDEX(KeywordGroupRange,MATCH(TRUE,ISNUMBER(SEARCH(KeywordRange,B129&amp;" "&amp;C129)),0)),""))</f>
        <v/>
      </c>
      <c r="E129">
        <f>IF(B129="","",D129)</f>
        <v/>
      </c>
      <c r="F129" s="8" t="n"/>
      <c r="G129" s="8" t="n"/>
      <c r="H129" s="8" t="n"/>
      <c r="I129" s="8" t="n"/>
    </row>
    <row r="130">
      <c r="D130">
        <f t="array" ref="D130">IF(B130="","",IFERROR(INDEX(KeywordGroupRange,MATCH(TRUE,ISNUMBER(SEARCH(KeywordRange,B130&amp;" "&amp;C130)),0)),""))</f>
        <v/>
      </c>
      <c r="E130">
        <f>IF(B130="","",D130)</f>
        <v/>
      </c>
      <c r="F130" s="8" t="n"/>
      <c r="G130" s="8" t="n"/>
      <c r="H130" s="8" t="n"/>
      <c r="I130" s="8" t="n"/>
    </row>
    <row r="131">
      <c r="D131">
        <f t="array" ref="D131">IF(B131="","",IFERROR(INDEX(KeywordGroupRange,MATCH(TRUE,ISNUMBER(SEARCH(KeywordRange,B131&amp;" "&amp;C131)),0)),""))</f>
        <v/>
      </c>
      <c r="E131">
        <f>IF(B131="","",D131)</f>
        <v/>
      </c>
      <c r="F131" s="8" t="n"/>
      <c r="G131" s="8" t="n"/>
      <c r="H131" s="8" t="n"/>
      <c r="I131" s="8" t="n"/>
    </row>
    <row r="132">
      <c r="D132">
        <f t="array" ref="D132">IF(B132="","",IFERROR(INDEX(KeywordGroupRange,MATCH(TRUE,ISNUMBER(SEARCH(KeywordRange,B132&amp;" "&amp;C132)),0)),""))</f>
        <v/>
      </c>
      <c r="E132">
        <f>IF(B132="","",D132)</f>
        <v/>
      </c>
      <c r="F132" s="8" t="n"/>
      <c r="G132" s="8" t="n"/>
      <c r="H132" s="8" t="n"/>
      <c r="I132" s="8" t="n"/>
    </row>
    <row r="133">
      <c r="D133">
        <f t="array" ref="D133">IF(B133="","",IFERROR(INDEX(KeywordGroupRange,MATCH(TRUE,ISNUMBER(SEARCH(KeywordRange,B133&amp;" "&amp;C133)),0)),""))</f>
        <v/>
      </c>
      <c r="E133">
        <f>IF(B133="","",D133)</f>
        <v/>
      </c>
      <c r="F133" s="8" t="n"/>
      <c r="G133" s="8" t="n"/>
      <c r="H133" s="8" t="n"/>
      <c r="I133" s="8" t="n"/>
    </row>
    <row r="134">
      <c r="D134">
        <f t="array" ref="D134">IF(B134="","",IFERROR(INDEX(KeywordGroupRange,MATCH(TRUE,ISNUMBER(SEARCH(KeywordRange,B134&amp;" "&amp;C134)),0)),""))</f>
        <v/>
      </c>
      <c r="E134">
        <f>IF(B134="","",D134)</f>
        <v/>
      </c>
      <c r="F134" s="8" t="n"/>
      <c r="G134" s="8" t="n"/>
      <c r="H134" s="8" t="n"/>
      <c r="I134" s="8" t="n"/>
    </row>
    <row r="135">
      <c r="D135">
        <f t="array" ref="D135">IF(B135="","",IFERROR(INDEX(KeywordGroupRange,MATCH(TRUE,ISNUMBER(SEARCH(KeywordRange,B135&amp;" "&amp;C135)),0)),""))</f>
        <v/>
      </c>
      <c r="E135">
        <f>IF(B135="","",D135)</f>
        <v/>
      </c>
      <c r="F135" s="8" t="n"/>
      <c r="G135" s="8" t="n"/>
      <c r="H135" s="8" t="n"/>
      <c r="I135" s="8" t="n"/>
    </row>
    <row r="136">
      <c r="D136">
        <f t="array" ref="D136">IF(B136="","",IFERROR(INDEX(KeywordGroupRange,MATCH(TRUE,ISNUMBER(SEARCH(KeywordRange,B136&amp;" "&amp;C136)),0)),""))</f>
        <v/>
      </c>
      <c r="E136">
        <f>IF(B136="","",D136)</f>
        <v/>
      </c>
      <c r="F136" s="8" t="n"/>
      <c r="G136" s="8" t="n"/>
      <c r="H136" s="8" t="n"/>
      <c r="I136" s="8" t="n"/>
    </row>
    <row r="137">
      <c r="D137">
        <f t="array" ref="D137">IF(B137="","",IFERROR(INDEX(KeywordGroupRange,MATCH(TRUE,ISNUMBER(SEARCH(KeywordRange,B137&amp;" "&amp;C137)),0)),""))</f>
        <v/>
      </c>
      <c r="E137">
        <f>IF(B137="","",D137)</f>
        <v/>
      </c>
      <c r="F137" s="8" t="n"/>
      <c r="G137" s="8" t="n"/>
      <c r="H137" s="8" t="n"/>
      <c r="I137" s="8" t="n"/>
    </row>
    <row r="138">
      <c r="D138">
        <f t="array" ref="D138">IF(B138="","",IFERROR(INDEX(KeywordGroupRange,MATCH(TRUE,ISNUMBER(SEARCH(KeywordRange,B138&amp;" "&amp;C138)),0)),""))</f>
        <v/>
      </c>
      <c r="E138">
        <f>IF(B138="","",D138)</f>
        <v/>
      </c>
      <c r="F138" s="8" t="n"/>
      <c r="G138" s="8" t="n"/>
      <c r="H138" s="8" t="n"/>
      <c r="I138" s="8" t="n"/>
    </row>
    <row r="139">
      <c r="D139">
        <f t="array" ref="D139">IF(B139="","",IFERROR(INDEX(KeywordGroupRange,MATCH(TRUE,ISNUMBER(SEARCH(KeywordRange,B139&amp;" "&amp;C139)),0)),""))</f>
        <v/>
      </c>
      <c r="E139">
        <f>IF(B139="","",D139)</f>
        <v/>
      </c>
      <c r="F139" s="8" t="n"/>
      <c r="G139" s="8" t="n"/>
      <c r="H139" s="8" t="n"/>
      <c r="I139" s="8" t="n"/>
    </row>
    <row r="140">
      <c r="D140">
        <f t="array" ref="D140">IF(B140="","",IFERROR(INDEX(KeywordGroupRange,MATCH(TRUE,ISNUMBER(SEARCH(KeywordRange,B140&amp;" "&amp;C140)),0)),""))</f>
        <v/>
      </c>
      <c r="E140">
        <f>IF(B140="","",D140)</f>
        <v/>
      </c>
      <c r="F140" s="8" t="n"/>
      <c r="G140" s="8" t="n"/>
      <c r="H140" s="8" t="n"/>
      <c r="I140" s="8" t="n"/>
    </row>
    <row r="141">
      <c r="D141">
        <f t="array" ref="D141">IF(B141="","",IFERROR(INDEX(KeywordGroupRange,MATCH(TRUE,ISNUMBER(SEARCH(KeywordRange,B141&amp;" "&amp;C141)),0)),""))</f>
        <v/>
      </c>
      <c r="E141">
        <f>IF(B141="","",D141)</f>
        <v/>
      </c>
      <c r="F141" s="8" t="n"/>
      <c r="G141" s="8" t="n"/>
      <c r="H141" s="8" t="n"/>
      <c r="I141" s="8" t="n"/>
    </row>
    <row r="142">
      <c r="D142">
        <f t="array" ref="D142">IF(B142="","",IFERROR(INDEX(KeywordGroupRange,MATCH(TRUE,ISNUMBER(SEARCH(KeywordRange,B142&amp;" "&amp;C142)),0)),""))</f>
        <v/>
      </c>
      <c r="E142">
        <f>IF(B142="","",D142)</f>
        <v/>
      </c>
      <c r="F142" s="8" t="n"/>
      <c r="G142" s="8" t="n"/>
      <c r="H142" s="8" t="n"/>
      <c r="I142" s="8" t="n"/>
    </row>
    <row r="143">
      <c r="D143">
        <f t="array" ref="D143">IF(B143="","",IFERROR(INDEX(KeywordGroupRange,MATCH(TRUE,ISNUMBER(SEARCH(KeywordRange,B143&amp;" "&amp;C143)),0)),""))</f>
        <v/>
      </c>
      <c r="E143">
        <f>IF(B143="","",D143)</f>
        <v/>
      </c>
      <c r="F143" s="8" t="n"/>
      <c r="G143" s="8" t="n"/>
      <c r="H143" s="8" t="n"/>
      <c r="I143" s="8" t="n"/>
    </row>
    <row r="144">
      <c r="D144">
        <f t="array" ref="D144">IF(B144="","",IFERROR(INDEX(KeywordGroupRange,MATCH(TRUE,ISNUMBER(SEARCH(KeywordRange,B144&amp;" "&amp;C144)),0)),""))</f>
        <v/>
      </c>
      <c r="E144">
        <f>IF(B144="","",D144)</f>
        <v/>
      </c>
      <c r="F144" s="8" t="n"/>
      <c r="G144" s="8" t="n"/>
      <c r="H144" s="8" t="n"/>
      <c r="I144" s="8" t="n"/>
    </row>
    <row r="145">
      <c r="D145">
        <f t="array" ref="D145">IF(B145="","",IFERROR(INDEX(KeywordGroupRange,MATCH(TRUE,ISNUMBER(SEARCH(KeywordRange,B145&amp;" "&amp;C145)),0)),""))</f>
        <v/>
      </c>
      <c r="E145">
        <f>IF(B145="","",D145)</f>
        <v/>
      </c>
      <c r="F145" s="8" t="n"/>
      <c r="G145" s="8" t="n"/>
      <c r="H145" s="8" t="n"/>
      <c r="I145" s="8" t="n"/>
    </row>
    <row r="146">
      <c r="D146">
        <f t="array" ref="D146">IF(B146="","",IFERROR(INDEX(KeywordGroupRange,MATCH(TRUE,ISNUMBER(SEARCH(KeywordRange,B146&amp;" "&amp;C146)),0)),""))</f>
        <v/>
      </c>
      <c r="E146">
        <f>IF(B146="","",D146)</f>
        <v/>
      </c>
      <c r="F146" s="8" t="n"/>
      <c r="G146" s="8" t="n"/>
      <c r="H146" s="8" t="n"/>
      <c r="I146" s="8" t="n"/>
    </row>
    <row r="147">
      <c r="D147">
        <f t="array" ref="D147">IF(B147="","",IFERROR(INDEX(KeywordGroupRange,MATCH(TRUE,ISNUMBER(SEARCH(KeywordRange,B147&amp;" "&amp;C147)),0)),""))</f>
        <v/>
      </c>
      <c r="E147">
        <f>IF(B147="","",D147)</f>
        <v/>
      </c>
      <c r="F147" s="8" t="n"/>
      <c r="G147" s="8" t="n"/>
      <c r="H147" s="8" t="n"/>
      <c r="I147" s="8" t="n"/>
    </row>
    <row r="148">
      <c r="D148">
        <f t="array" ref="D148">IF(B148="","",IFERROR(INDEX(KeywordGroupRange,MATCH(TRUE,ISNUMBER(SEARCH(KeywordRange,B148&amp;" "&amp;C148)),0)),""))</f>
        <v/>
      </c>
      <c r="E148">
        <f>IF(B148="","",D148)</f>
        <v/>
      </c>
      <c r="F148" s="8" t="n"/>
      <c r="G148" s="8" t="n"/>
      <c r="H148" s="8" t="n"/>
      <c r="I148" s="8" t="n"/>
    </row>
    <row r="149">
      <c r="D149">
        <f t="array" ref="D149">IF(B149="","",IFERROR(INDEX(KeywordGroupRange,MATCH(TRUE,ISNUMBER(SEARCH(KeywordRange,B149&amp;" "&amp;C149)),0)),""))</f>
        <v/>
      </c>
      <c r="E149">
        <f>IF(B149="","",D149)</f>
        <v/>
      </c>
      <c r="F149" s="8" t="n"/>
      <c r="G149" s="8" t="n"/>
      <c r="H149" s="8" t="n"/>
      <c r="I149" s="8" t="n"/>
    </row>
    <row r="150">
      <c r="D150">
        <f t="array" ref="D150">IF(B150="","",IFERROR(INDEX(KeywordGroupRange,MATCH(TRUE,ISNUMBER(SEARCH(KeywordRange,B150&amp;" "&amp;C150)),0)),""))</f>
        <v/>
      </c>
      <c r="E150">
        <f>IF(B150="","",D150)</f>
        <v/>
      </c>
      <c r="F150" s="8" t="n"/>
      <c r="G150" s="8" t="n"/>
      <c r="H150" s="8" t="n"/>
      <c r="I150" s="8" t="n"/>
    </row>
    <row r="151">
      <c r="D151">
        <f t="array" ref="D151">IF(B151="","",IFERROR(INDEX(KeywordGroupRange,MATCH(TRUE,ISNUMBER(SEARCH(KeywordRange,B151&amp;" "&amp;C151)),0)),""))</f>
        <v/>
      </c>
      <c r="E151">
        <f>IF(B151="","",D151)</f>
        <v/>
      </c>
      <c r="F151" s="8" t="n"/>
      <c r="G151" s="8" t="n"/>
      <c r="H151" s="8" t="n"/>
      <c r="I151" s="8" t="n"/>
    </row>
    <row r="152">
      <c r="D152">
        <f t="array" ref="D152">IF(B152="","",IFERROR(INDEX(KeywordGroupRange,MATCH(TRUE,ISNUMBER(SEARCH(KeywordRange,B152&amp;" "&amp;C152)),0)),""))</f>
        <v/>
      </c>
      <c r="E152">
        <f>IF(B152="","",D152)</f>
        <v/>
      </c>
      <c r="F152" s="8" t="n"/>
      <c r="G152" s="8" t="n"/>
      <c r="H152" s="8" t="n"/>
      <c r="I152" s="8" t="n"/>
    </row>
    <row r="153">
      <c r="D153">
        <f t="array" ref="D153">IF(B153="","",IFERROR(INDEX(KeywordGroupRange,MATCH(TRUE,ISNUMBER(SEARCH(KeywordRange,B153&amp;" "&amp;C153)),0)),""))</f>
        <v/>
      </c>
      <c r="E153">
        <f>IF(B153="","",D153)</f>
        <v/>
      </c>
      <c r="F153" s="8" t="n"/>
      <c r="G153" s="8" t="n"/>
      <c r="H153" s="8" t="n"/>
      <c r="I153" s="8" t="n"/>
    </row>
    <row r="154">
      <c r="D154">
        <f t="array" ref="D154">IF(B154="","",IFERROR(INDEX(KeywordGroupRange,MATCH(TRUE,ISNUMBER(SEARCH(KeywordRange,B154&amp;" "&amp;C154)),0)),""))</f>
        <v/>
      </c>
      <c r="E154">
        <f>IF(B154="","",D154)</f>
        <v/>
      </c>
      <c r="F154" s="8" t="n"/>
      <c r="G154" s="8" t="n"/>
      <c r="H154" s="8" t="n"/>
      <c r="I154" s="8" t="n"/>
    </row>
    <row r="155">
      <c r="D155">
        <f t="array" ref="D155">IF(B155="","",IFERROR(INDEX(KeywordGroupRange,MATCH(TRUE,ISNUMBER(SEARCH(KeywordRange,B155&amp;" "&amp;C155)),0)),""))</f>
        <v/>
      </c>
      <c r="E155">
        <f>IF(B155="","",D155)</f>
        <v/>
      </c>
      <c r="F155" s="8" t="n"/>
      <c r="G155" s="8" t="n"/>
      <c r="H155" s="8" t="n"/>
      <c r="I155" s="8" t="n"/>
    </row>
    <row r="156">
      <c r="D156">
        <f t="array" ref="D156">IF(B156="","",IFERROR(INDEX(KeywordGroupRange,MATCH(TRUE,ISNUMBER(SEARCH(KeywordRange,B156&amp;" "&amp;C156)),0)),""))</f>
        <v/>
      </c>
      <c r="E156">
        <f>IF(B156="","",D156)</f>
        <v/>
      </c>
      <c r="F156" s="8" t="n"/>
      <c r="G156" s="8" t="n"/>
      <c r="H156" s="8" t="n"/>
      <c r="I156" s="8" t="n"/>
    </row>
    <row r="157">
      <c r="D157">
        <f t="array" ref="D157">IF(B157="","",IFERROR(INDEX(KeywordGroupRange,MATCH(TRUE,ISNUMBER(SEARCH(KeywordRange,B157&amp;" "&amp;C157)),0)),""))</f>
        <v/>
      </c>
      <c r="E157">
        <f>IF(B157="","",D157)</f>
        <v/>
      </c>
      <c r="F157" s="8" t="n"/>
      <c r="G157" s="8" t="n"/>
      <c r="H157" s="8" t="n"/>
      <c r="I157" s="8" t="n"/>
    </row>
    <row r="158">
      <c r="D158">
        <f t="array" ref="D158">IF(B158="","",IFERROR(INDEX(KeywordGroupRange,MATCH(TRUE,ISNUMBER(SEARCH(KeywordRange,B158&amp;" "&amp;C158)),0)),""))</f>
        <v/>
      </c>
      <c r="E158">
        <f>IF(B158="","",D158)</f>
        <v/>
      </c>
      <c r="F158" s="8" t="n"/>
      <c r="G158" s="8" t="n"/>
      <c r="H158" s="8" t="n"/>
      <c r="I158" s="8" t="n"/>
    </row>
    <row r="159">
      <c r="D159">
        <f t="array" ref="D159">IF(B159="","",IFERROR(INDEX(KeywordGroupRange,MATCH(TRUE,ISNUMBER(SEARCH(KeywordRange,B159&amp;" "&amp;C159)),0)),""))</f>
        <v/>
      </c>
      <c r="E159">
        <f>IF(B159="","",D159)</f>
        <v/>
      </c>
      <c r="F159" s="8" t="n"/>
      <c r="G159" s="8" t="n"/>
      <c r="H159" s="8" t="n"/>
      <c r="I159" s="8" t="n"/>
    </row>
    <row r="160">
      <c r="D160">
        <f t="array" ref="D160">IF(B160="","",IFERROR(INDEX(KeywordGroupRange,MATCH(TRUE,ISNUMBER(SEARCH(KeywordRange,B160&amp;" "&amp;C160)),0)),""))</f>
        <v/>
      </c>
      <c r="E160">
        <f>IF(B160="","",D160)</f>
        <v/>
      </c>
      <c r="F160" s="8" t="n"/>
      <c r="G160" s="8" t="n"/>
      <c r="H160" s="8" t="n"/>
      <c r="I160" s="8" t="n"/>
    </row>
    <row r="161">
      <c r="D161">
        <f t="array" ref="D161">IF(B161="","",IFERROR(INDEX(KeywordGroupRange,MATCH(TRUE,ISNUMBER(SEARCH(KeywordRange,B161&amp;" "&amp;C161)),0)),""))</f>
        <v/>
      </c>
      <c r="E161">
        <f>IF(B161="","",D161)</f>
        <v/>
      </c>
      <c r="F161" s="8" t="n"/>
      <c r="G161" s="8" t="n"/>
      <c r="H161" s="8" t="n"/>
      <c r="I161" s="8" t="n"/>
    </row>
    <row r="162">
      <c r="D162">
        <f t="array" ref="D162">IF(B162="","",IFERROR(INDEX(KeywordGroupRange,MATCH(TRUE,ISNUMBER(SEARCH(KeywordRange,B162&amp;" "&amp;C162)),0)),""))</f>
        <v/>
      </c>
      <c r="E162">
        <f>IF(B162="","",D162)</f>
        <v/>
      </c>
      <c r="F162" s="8" t="n"/>
      <c r="G162" s="8" t="n"/>
      <c r="H162" s="8" t="n"/>
      <c r="I162" s="8" t="n"/>
    </row>
    <row r="163">
      <c r="D163">
        <f t="array" ref="D163">IF(B163="","",IFERROR(INDEX(KeywordGroupRange,MATCH(TRUE,ISNUMBER(SEARCH(KeywordRange,B163&amp;" "&amp;C163)),0)),""))</f>
        <v/>
      </c>
      <c r="E163">
        <f>IF(B163="","",D163)</f>
        <v/>
      </c>
      <c r="F163" s="8" t="n"/>
      <c r="G163" s="8" t="n"/>
      <c r="H163" s="8" t="n"/>
      <c r="I163" s="8" t="n"/>
    </row>
    <row r="164">
      <c r="D164">
        <f t="array" ref="D164">IF(B164="","",IFERROR(INDEX(KeywordGroupRange,MATCH(TRUE,ISNUMBER(SEARCH(KeywordRange,B164&amp;" "&amp;C164)),0)),""))</f>
        <v/>
      </c>
      <c r="E164">
        <f>IF(B164="","",D164)</f>
        <v/>
      </c>
      <c r="F164" s="8" t="n"/>
      <c r="G164" s="8" t="n"/>
      <c r="H164" s="8" t="n"/>
      <c r="I164" s="8" t="n"/>
    </row>
    <row r="165">
      <c r="D165">
        <f t="array" ref="D165">IF(B165="","",IFERROR(INDEX(KeywordGroupRange,MATCH(TRUE,ISNUMBER(SEARCH(KeywordRange,B165&amp;" "&amp;C165)),0)),""))</f>
        <v/>
      </c>
      <c r="E165">
        <f>IF(B165="","",D165)</f>
        <v/>
      </c>
      <c r="F165" s="8" t="n"/>
      <c r="G165" s="8" t="n"/>
      <c r="H165" s="8" t="n"/>
      <c r="I165" s="8" t="n"/>
    </row>
    <row r="166">
      <c r="D166">
        <f t="array" ref="D166">IF(B166="","",IFERROR(INDEX(KeywordGroupRange,MATCH(TRUE,ISNUMBER(SEARCH(KeywordRange,B166&amp;" "&amp;C166)),0)),""))</f>
        <v/>
      </c>
      <c r="E166">
        <f>IF(B166="","",D166)</f>
        <v/>
      </c>
      <c r="F166" s="8" t="n"/>
      <c r="G166" s="8" t="n"/>
      <c r="H166" s="8" t="n"/>
      <c r="I166" s="8" t="n"/>
    </row>
    <row r="167">
      <c r="D167">
        <f t="array" ref="D167">IF(B167="","",IFERROR(INDEX(KeywordGroupRange,MATCH(TRUE,ISNUMBER(SEARCH(KeywordRange,B167&amp;" "&amp;C167)),0)),""))</f>
        <v/>
      </c>
      <c r="E167">
        <f>IF(B167="","",D167)</f>
        <v/>
      </c>
      <c r="F167" s="8" t="n"/>
      <c r="G167" s="8" t="n"/>
      <c r="H167" s="8" t="n"/>
      <c r="I167" s="8" t="n"/>
    </row>
    <row r="168">
      <c r="D168">
        <f t="array" ref="D168">IF(B168="","",IFERROR(INDEX(KeywordGroupRange,MATCH(TRUE,ISNUMBER(SEARCH(KeywordRange,B168&amp;" "&amp;C168)),0)),""))</f>
        <v/>
      </c>
      <c r="E168">
        <f>IF(B168="","",D168)</f>
        <v/>
      </c>
      <c r="F168" s="8" t="n"/>
      <c r="G168" s="8" t="n"/>
      <c r="H168" s="8" t="n"/>
      <c r="I168" s="8" t="n"/>
    </row>
    <row r="169">
      <c r="D169">
        <f t="array" ref="D169">IF(B169="","",IFERROR(INDEX(KeywordGroupRange,MATCH(TRUE,ISNUMBER(SEARCH(KeywordRange,B169&amp;" "&amp;C169)),0)),""))</f>
        <v/>
      </c>
      <c r="E169">
        <f>IF(B169="","",D169)</f>
        <v/>
      </c>
      <c r="F169" s="8" t="n"/>
      <c r="G169" s="8" t="n"/>
      <c r="H169" s="8" t="n"/>
      <c r="I169" s="8" t="n"/>
    </row>
    <row r="170">
      <c r="D170">
        <f t="array" ref="D170">IF(B170="","",IFERROR(INDEX(KeywordGroupRange,MATCH(TRUE,ISNUMBER(SEARCH(KeywordRange,B170&amp;" "&amp;C170)),0)),""))</f>
        <v/>
      </c>
      <c r="E170">
        <f>IF(B170="","",D170)</f>
        <v/>
      </c>
      <c r="F170" s="8" t="n"/>
      <c r="G170" s="8" t="n"/>
      <c r="H170" s="8" t="n"/>
      <c r="I170" s="8" t="n"/>
    </row>
    <row r="171">
      <c r="D171">
        <f t="array" ref="D171">IF(B171="","",IFERROR(INDEX(KeywordGroupRange,MATCH(TRUE,ISNUMBER(SEARCH(KeywordRange,B171&amp;" "&amp;C171)),0)),""))</f>
        <v/>
      </c>
      <c r="E171">
        <f>IF(B171="","",D171)</f>
        <v/>
      </c>
      <c r="F171" s="8" t="n"/>
      <c r="G171" s="8" t="n"/>
      <c r="H171" s="8" t="n"/>
      <c r="I171" s="8" t="n"/>
    </row>
    <row r="172">
      <c r="D172">
        <f t="array" ref="D172">IF(B172="","",IFERROR(INDEX(KeywordGroupRange,MATCH(TRUE,ISNUMBER(SEARCH(KeywordRange,B172&amp;" "&amp;C172)),0)),""))</f>
        <v/>
      </c>
      <c r="E172">
        <f>IF(B172="","",D172)</f>
        <v/>
      </c>
      <c r="F172" s="8" t="n"/>
      <c r="G172" s="8" t="n"/>
      <c r="H172" s="8" t="n"/>
      <c r="I172" s="8" t="n"/>
    </row>
    <row r="173">
      <c r="D173">
        <f t="array" ref="D173">IF(B173="","",IFERROR(INDEX(KeywordGroupRange,MATCH(TRUE,ISNUMBER(SEARCH(KeywordRange,B173&amp;" "&amp;C173)),0)),""))</f>
        <v/>
      </c>
      <c r="E173">
        <f>IF(B173="","",D173)</f>
        <v/>
      </c>
      <c r="F173" s="8" t="n"/>
      <c r="G173" s="8" t="n"/>
      <c r="H173" s="8" t="n"/>
      <c r="I173" s="8" t="n"/>
    </row>
    <row r="174">
      <c r="D174">
        <f t="array" ref="D174">IF(B174="","",IFERROR(INDEX(KeywordGroupRange,MATCH(TRUE,ISNUMBER(SEARCH(KeywordRange,B174&amp;" "&amp;C174)),0)),""))</f>
        <v/>
      </c>
      <c r="E174">
        <f>IF(B174="","",D174)</f>
        <v/>
      </c>
      <c r="F174" s="8" t="n"/>
      <c r="G174" s="8" t="n"/>
      <c r="H174" s="8" t="n"/>
      <c r="I174" s="8" t="n"/>
    </row>
    <row r="175">
      <c r="D175">
        <f t="array" ref="D175">IF(B175="","",IFERROR(INDEX(KeywordGroupRange,MATCH(TRUE,ISNUMBER(SEARCH(KeywordRange,B175&amp;" "&amp;C175)),0)),""))</f>
        <v/>
      </c>
      <c r="E175">
        <f>IF(B175="","",D175)</f>
        <v/>
      </c>
      <c r="F175" s="8" t="n"/>
      <c r="G175" s="8" t="n"/>
      <c r="H175" s="8" t="n"/>
      <c r="I175" s="8" t="n"/>
    </row>
    <row r="176">
      <c r="D176">
        <f t="array" ref="D176">IF(B176="","",IFERROR(INDEX(KeywordGroupRange,MATCH(TRUE,ISNUMBER(SEARCH(KeywordRange,B176&amp;" "&amp;C176)),0)),""))</f>
        <v/>
      </c>
      <c r="E176">
        <f>IF(B176="","",D176)</f>
        <v/>
      </c>
      <c r="F176" s="8" t="n"/>
      <c r="G176" s="8" t="n"/>
      <c r="H176" s="8" t="n"/>
      <c r="I176" s="8" t="n"/>
    </row>
    <row r="177">
      <c r="D177">
        <f t="array" ref="D177">IF(B177="","",IFERROR(INDEX(KeywordGroupRange,MATCH(TRUE,ISNUMBER(SEARCH(KeywordRange,B177&amp;" "&amp;C177)),0)),""))</f>
        <v/>
      </c>
      <c r="E177">
        <f>IF(B177="","",D177)</f>
        <v/>
      </c>
      <c r="F177" s="8" t="n"/>
      <c r="G177" s="8" t="n"/>
      <c r="H177" s="8" t="n"/>
      <c r="I177" s="8" t="n"/>
    </row>
    <row r="178">
      <c r="D178">
        <f t="array" ref="D178">IF(B178="","",IFERROR(INDEX(KeywordGroupRange,MATCH(TRUE,ISNUMBER(SEARCH(KeywordRange,B178&amp;" "&amp;C178)),0)),""))</f>
        <v/>
      </c>
      <c r="E178">
        <f>IF(B178="","",D178)</f>
        <v/>
      </c>
      <c r="F178" s="8" t="n"/>
      <c r="G178" s="8" t="n"/>
      <c r="H178" s="8" t="n"/>
      <c r="I178" s="8" t="n"/>
    </row>
    <row r="179">
      <c r="D179">
        <f t="array" ref="D179">IF(B179="","",IFERROR(INDEX(KeywordGroupRange,MATCH(TRUE,ISNUMBER(SEARCH(KeywordRange,B179&amp;" "&amp;C179)),0)),""))</f>
        <v/>
      </c>
      <c r="E179">
        <f>IF(B179="","",D179)</f>
        <v/>
      </c>
      <c r="F179" s="8" t="n"/>
      <c r="G179" s="8" t="n"/>
      <c r="H179" s="8" t="n"/>
      <c r="I179" s="8" t="n"/>
    </row>
    <row r="180">
      <c r="D180">
        <f t="array" ref="D180">IF(B180="","",IFERROR(INDEX(KeywordGroupRange,MATCH(TRUE,ISNUMBER(SEARCH(KeywordRange,B180&amp;" "&amp;C180)),0)),""))</f>
        <v/>
      </c>
      <c r="E180">
        <f>IF(B180="","",D180)</f>
        <v/>
      </c>
      <c r="F180" s="8" t="n"/>
      <c r="G180" s="8" t="n"/>
      <c r="H180" s="8" t="n"/>
      <c r="I180" s="8" t="n"/>
    </row>
    <row r="181">
      <c r="D181">
        <f t="array" ref="D181">IF(B181="","",IFERROR(INDEX(KeywordGroupRange,MATCH(TRUE,ISNUMBER(SEARCH(KeywordRange,B181&amp;" "&amp;C181)),0)),""))</f>
        <v/>
      </c>
      <c r="E181">
        <f>IF(B181="","",D181)</f>
        <v/>
      </c>
      <c r="F181" s="8" t="n"/>
      <c r="G181" s="8" t="n"/>
      <c r="H181" s="8" t="n"/>
      <c r="I181" s="8" t="n"/>
    </row>
    <row r="182">
      <c r="D182">
        <f t="array" ref="D182">IF(B182="","",IFERROR(INDEX(KeywordGroupRange,MATCH(TRUE,ISNUMBER(SEARCH(KeywordRange,B182&amp;" "&amp;C182)),0)),""))</f>
        <v/>
      </c>
      <c r="E182">
        <f>IF(B182="","",D182)</f>
        <v/>
      </c>
      <c r="F182" s="8" t="n"/>
      <c r="G182" s="8" t="n"/>
      <c r="H182" s="8" t="n"/>
      <c r="I182" s="8" t="n"/>
    </row>
    <row r="183">
      <c r="D183">
        <f t="array" ref="D183">IF(B183="","",IFERROR(INDEX(KeywordGroupRange,MATCH(TRUE,ISNUMBER(SEARCH(KeywordRange,B183&amp;" "&amp;C183)),0)),""))</f>
        <v/>
      </c>
      <c r="E183">
        <f>IF(B183="","",D183)</f>
        <v/>
      </c>
      <c r="F183" s="8" t="n"/>
      <c r="G183" s="8" t="n"/>
      <c r="H183" s="8" t="n"/>
      <c r="I183" s="8" t="n"/>
    </row>
    <row r="184">
      <c r="D184">
        <f t="array" ref="D184">IF(B184="","",IFERROR(INDEX(KeywordGroupRange,MATCH(TRUE,ISNUMBER(SEARCH(KeywordRange,B184&amp;" "&amp;C184)),0)),""))</f>
        <v/>
      </c>
      <c r="E184">
        <f>IF(B184="","",D184)</f>
        <v/>
      </c>
      <c r="F184" s="8" t="n"/>
      <c r="G184" s="8" t="n"/>
      <c r="H184" s="8" t="n"/>
      <c r="I184" s="8" t="n"/>
    </row>
    <row r="185">
      <c r="D185">
        <f t="array" ref="D185">IF(B185="","",IFERROR(INDEX(KeywordGroupRange,MATCH(TRUE,ISNUMBER(SEARCH(KeywordRange,B185&amp;" "&amp;C185)),0)),""))</f>
        <v/>
      </c>
      <c r="E185">
        <f>IF(B185="","",D185)</f>
        <v/>
      </c>
      <c r="F185" s="8" t="n"/>
      <c r="G185" s="8" t="n"/>
      <c r="H185" s="8" t="n"/>
      <c r="I185" s="8" t="n"/>
    </row>
    <row r="186">
      <c r="D186">
        <f t="array" ref="D186">IF(B186="","",IFERROR(INDEX(KeywordGroupRange,MATCH(TRUE,ISNUMBER(SEARCH(KeywordRange,B186&amp;" "&amp;C186)),0)),""))</f>
        <v/>
      </c>
      <c r="E186">
        <f>IF(B186="","",D186)</f>
        <v/>
      </c>
      <c r="F186" s="8" t="n"/>
      <c r="G186" s="8" t="n"/>
      <c r="H186" s="8" t="n"/>
      <c r="I186" s="8" t="n"/>
    </row>
    <row r="187">
      <c r="D187">
        <f t="array" ref="D187">IF(B187="","",IFERROR(INDEX(KeywordGroupRange,MATCH(TRUE,ISNUMBER(SEARCH(KeywordRange,B187&amp;" "&amp;C187)),0)),""))</f>
        <v/>
      </c>
      <c r="E187">
        <f>IF(B187="","",D187)</f>
        <v/>
      </c>
      <c r="F187" s="8" t="n"/>
      <c r="G187" s="8" t="n"/>
      <c r="H187" s="8" t="n"/>
      <c r="I187" s="8" t="n"/>
    </row>
    <row r="188">
      <c r="D188">
        <f t="array" ref="D188">IF(B188="","",IFERROR(INDEX(KeywordGroupRange,MATCH(TRUE,ISNUMBER(SEARCH(KeywordRange,B188&amp;" "&amp;C188)),0)),""))</f>
        <v/>
      </c>
      <c r="E188">
        <f>IF(B188="","",D188)</f>
        <v/>
      </c>
      <c r="F188" s="8" t="n"/>
      <c r="G188" s="8" t="n"/>
      <c r="H188" s="8" t="n"/>
      <c r="I188" s="8" t="n"/>
    </row>
    <row r="189">
      <c r="D189">
        <f t="array" ref="D189">IF(B189="","",IFERROR(INDEX(KeywordGroupRange,MATCH(TRUE,ISNUMBER(SEARCH(KeywordRange,B189&amp;" "&amp;C189)),0)),""))</f>
        <v/>
      </c>
      <c r="E189">
        <f>IF(B189="","",D189)</f>
        <v/>
      </c>
      <c r="F189" s="8" t="n"/>
      <c r="G189" s="8" t="n"/>
      <c r="H189" s="8" t="n"/>
      <c r="I189" s="8" t="n"/>
    </row>
    <row r="190">
      <c r="D190">
        <f t="array" ref="D190">IF(B190="","",IFERROR(INDEX(KeywordGroupRange,MATCH(TRUE,ISNUMBER(SEARCH(KeywordRange,B190&amp;" "&amp;C190)),0)),""))</f>
        <v/>
      </c>
      <c r="E190">
        <f>IF(B190="","",D190)</f>
        <v/>
      </c>
      <c r="F190" s="8" t="n"/>
      <c r="G190" s="8" t="n"/>
      <c r="H190" s="8" t="n"/>
      <c r="I190" s="8" t="n"/>
    </row>
    <row r="191">
      <c r="D191">
        <f t="array" ref="D191">IF(B191="","",IFERROR(INDEX(KeywordGroupRange,MATCH(TRUE,ISNUMBER(SEARCH(KeywordRange,B191&amp;" "&amp;C191)),0)),""))</f>
        <v/>
      </c>
      <c r="E191">
        <f>IF(B191="","",D191)</f>
        <v/>
      </c>
      <c r="F191" s="8" t="n"/>
      <c r="G191" s="8" t="n"/>
      <c r="H191" s="8" t="n"/>
      <c r="I191" s="8" t="n"/>
    </row>
    <row r="192">
      <c r="D192">
        <f t="array" ref="D192">IF(B192="","",IFERROR(INDEX(KeywordGroupRange,MATCH(TRUE,ISNUMBER(SEARCH(KeywordRange,B192&amp;" "&amp;C192)),0)),""))</f>
        <v/>
      </c>
      <c r="E192">
        <f>IF(B192="","",D192)</f>
        <v/>
      </c>
      <c r="F192" s="8" t="n"/>
      <c r="G192" s="8" t="n"/>
      <c r="H192" s="8" t="n"/>
      <c r="I192" s="8" t="n"/>
    </row>
    <row r="193">
      <c r="D193">
        <f t="array" ref="D193">IF(B193="","",IFERROR(INDEX(KeywordGroupRange,MATCH(TRUE,ISNUMBER(SEARCH(KeywordRange,B193&amp;" "&amp;C193)),0)),""))</f>
        <v/>
      </c>
      <c r="E193">
        <f>IF(B193="","",D193)</f>
        <v/>
      </c>
      <c r="F193" s="8" t="n"/>
      <c r="G193" s="8" t="n"/>
      <c r="H193" s="8" t="n"/>
      <c r="I193" s="8" t="n"/>
    </row>
    <row r="194">
      <c r="D194">
        <f t="array" ref="D194">IF(B194="","",IFERROR(INDEX(KeywordGroupRange,MATCH(TRUE,ISNUMBER(SEARCH(KeywordRange,B194&amp;" "&amp;C194)),0)),""))</f>
        <v/>
      </c>
      <c r="E194">
        <f>IF(B194="","",D194)</f>
        <v/>
      </c>
      <c r="F194" s="8" t="n"/>
      <c r="G194" s="8" t="n"/>
      <c r="H194" s="8" t="n"/>
      <c r="I194" s="8" t="n"/>
    </row>
    <row r="195">
      <c r="D195">
        <f t="array" ref="D195">IF(B195="","",IFERROR(INDEX(KeywordGroupRange,MATCH(TRUE,ISNUMBER(SEARCH(KeywordRange,B195&amp;" "&amp;C195)),0)),""))</f>
        <v/>
      </c>
      <c r="E195">
        <f>IF(B195="","",D195)</f>
        <v/>
      </c>
      <c r="F195" s="8" t="n"/>
      <c r="G195" s="8" t="n"/>
      <c r="H195" s="8" t="n"/>
      <c r="I195" s="8" t="n"/>
    </row>
    <row r="196">
      <c r="D196">
        <f t="array" ref="D196">IF(B196="","",IFERROR(INDEX(KeywordGroupRange,MATCH(TRUE,ISNUMBER(SEARCH(KeywordRange,B196&amp;" "&amp;C196)),0)),""))</f>
        <v/>
      </c>
      <c r="E196">
        <f>IF(B196="","",D196)</f>
        <v/>
      </c>
      <c r="F196" s="8" t="n"/>
      <c r="G196" s="8" t="n"/>
      <c r="H196" s="8" t="n"/>
      <c r="I196" s="8" t="n"/>
    </row>
    <row r="197">
      <c r="D197">
        <f t="array" ref="D197">IF(B197="","",IFERROR(INDEX(KeywordGroupRange,MATCH(TRUE,ISNUMBER(SEARCH(KeywordRange,B197&amp;" "&amp;C197)),0)),""))</f>
        <v/>
      </c>
      <c r="E197">
        <f>IF(B197="","",D197)</f>
        <v/>
      </c>
      <c r="F197" s="8" t="n"/>
      <c r="G197" s="8" t="n"/>
      <c r="H197" s="8" t="n"/>
      <c r="I197" s="8" t="n"/>
    </row>
    <row r="198">
      <c r="D198">
        <f t="array" ref="D198">IF(B198="","",IFERROR(INDEX(KeywordGroupRange,MATCH(TRUE,ISNUMBER(SEARCH(KeywordRange,B198&amp;" "&amp;C198)),0)),""))</f>
        <v/>
      </c>
      <c r="E198">
        <f>IF(B198="","",D198)</f>
        <v/>
      </c>
      <c r="F198" s="8" t="n"/>
      <c r="G198" s="8" t="n"/>
      <c r="H198" s="8" t="n"/>
      <c r="I198" s="8" t="n"/>
    </row>
    <row r="199">
      <c r="D199">
        <f t="array" ref="D199">IF(B199="","",IFERROR(INDEX(KeywordGroupRange,MATCH(TRUE,ISNUMBER(SEARCH(KeywordRange,B199&amp;" "&amp;C199)),0)),""))</f>
        <v/>
      </c>
      <c r="E199">
        <f>IF(B199="","",D199)</f>
        <v/>
      </c>
      <c r="F199" s="8" t="n"/>
      <c r="G199" s="8" t="n"/>
      <c r="H199" s="8" t="n"/>
      <c r="I199" s="8" t="n"/>
    </row>
    <row r="200">
      <c r="D200">
        <f t="array" ref="D200">IF(B200="","",IFERROR(INDEX(KeywordGroupRange,MATCH(TRUE,ISNUMBER(SEARCH(KeywordRange,B200&amp;" "&amp;C200)),0)),""))</f>
        <v/>
      </c>
      <c r="E200">
        <f>IF(B200="","",D200)</f>
        <v/>
      </c>
      <c r="F200" s="8" t="n"/>
      <c r="G200" s="8" t="n"/>
      <c r="H200" s="8" t="n"/>
      <c r="I200" s="8" t="n"/>
    </row>
    <row r="201">
      <c r="D201">
        <f t="array" ref="D201">IF(B201="","",IFERROR(INDEX(KeywordGroupRange,MATCH(TRUE,ISNUMBER(SEARCH(KeywordRange,B201&amp;" "&amp;C201)),0)),""))</f>
        <v/>
      </c>
      <c r="E201">
        <f>IF(B201="","",D201)</f>
        <v/>
      </c>
      <c r="F201" s="8" t="n"/>
      <c r="G201" s="8" t="n"/>
      <c r="H201" s="8" t="n"/>
      <c r="I201" s="8" t="n"/>
    </row>
    <row r="202">
      <c r="D202">
        <f t="array" ref="D202">IF(B202="","",IFERROR(INDEX(KeywordGroupRange,MATCH(TRUE,ISNUMBER(SEARCH(KeywordRange,B202&amp;" "&amp;C202)),0)),""))</f>
        <v/>
      </c>
      <c r="E202">
        <f>IF(B202="","",D202)</f>
        <v/>
      </c>
      <c r="F202" s="8" t="n"/>
      <c r="G202" s="8" t="n"/>
      <c r="H202" s="8" t="n"/>
      <c r="I202" s="8" t="n"/>
    </row>
    <row r="203">
      <c r="D203">
        <f t="array" ref="D203">IF(B203="","",IFERROR(INDEX(KeywordGroupRange,MATCH(TRUE,ISNUMBER(SEARCH(KeywordRange,B203&amp;" "&amp;C203)),0)),""))</f>
        <v/>
      </c>
      <c r="E203">
        <f>IF(B203="","",D203)</f>
        <v/>
      </c>
      <c r="F203" s="8" t="n"/>
      <c r="G203" s="8" t="n"/>
      <c r="H203" s="8" t="n"/>
      <c r="I203" s="8" t="n"/>
    </row>
    <row r="204">
      <c r="D204">
        <f t="array" ref="D204">IF(B204="","",IFERROR(INDEX(KeywordGroupRange,MATCH(TRUE,ISNUMBER(SEARCH(KeywordRange,B204&amp;" "&amp;C204)),0)),""))</f>
        <v/>
      </c>
      <c r="E204">
        <f>IF(B204="","",D204)</f>
        <v/>
      </c>
      <c r="F204" s="8" t="n"/>
      <c r="G204" s="8" t="n"/>
      <c r="H204" s="8" t="n"/>
      <c r="I204" s="8" t="n"/>
    </row>
    <row r="205">
      <c r="D205">
        <f t="array" ref="D205">IF(B205="","",IFERROR(INDEX(KeywordGroupRange,MATCH(TRUE,ISNUMBER(SEARCH(KeywordRange,B205&amp;" "&amp;C205)),0)),""))</f>
        <v/>
      </c>
      <c r="E205">
        <f>IF(B205="","",D205)</f>
        <v/>
      </c>
      <c r="F205" s="8" t="n"/>
      <c r="G205" s="8" t="n"/>
      <c r="H205" s="8" t="n"/>
      <c r="I205" s="8" t="n"/>
    </row>
    <row r="206">
      <c r="D206">
        <f t="array" ref="D206">IF(B206="","",IFERROR(INDEX(KeywordGroupRange,MATCH(TRUE,ISNUMBER(SEARCH(KeywordRange,B206&amp;" "&amp;C206)),0)),""))</f>
        <v/>
      </c>
      <c r="E206">
        <f>IF(B206="","",D206)</f>
        <v/>
      </c>
      <c r="F206" s="8" t="n"/>
      <c r="G206" s="8" t="n"/>
      <c r="H206" s="8" t="n"/>
      <c r="I206" s="8" t="n"/>
    </row>
    <row r="207">
      <c r="D207">
        <f t="array" ref="D207">IF(B207="","",IFERROR(INDEX(KeywordGroupRange,MATCH(TRUE,ISNUMBER(SEARCH(KeywordRange,B207&amp;" "&amp;C207)),0)),""))</f>
        <v/>
      </c>
      <c r="E207">
        <f>IF(B207="","",D207)</f>
        <v/>
      </c>
      <c r="F207" s="8" t="n"/>
      <c r="G207" s="8" t="n"/>
      <c r="H207" s="8" t="n"/>
      <c r="I207" s="8" t="n"/>
    </row>
    <row r="208">
      <c r="D208">
        <f t="array" ref="D208">IF(B208="","",IFERROR(INDEX(KeywordGroupRange,MATCH(TRUE,ISNUMBER(SEARCH(KeywordRange,B208&amp;" "&amp;C208)),0)),""))</f>
        <v/>
      </c>
      <c r="E208">
        <f>IF(B208="","",D208)</f>
        <v/>
      </c>
      <c r="F208" s="8" t="n"/>
      <c r="G208" s="8" t="n"/>
      <c r="H208" s="8" t="n"/>
      <c r="I208" s="8" t="n"/>
    </row>
    <row r="209">
      <c r="D209">
        <f t="array" ref="D209">IF(B209="","",IFERROR(INDEX(KeywordGroupRange,MATCH(TRUE,ISNUMBER(SEARCH(KeywordRange,B209&amp;" "&amp;C209)),0)),""))</f>
        <v/>
      </c>
      <c r="E209">
        <f>IF(B209="","",D209)</f>
        <v/>
      </c>
      <c r="F209" s="8" t="n"/>
      <c r="G209" s="8" t="n"/>
      <c r="H209" s="8" t="n"/>
      <c r="I209" s="8" t="n"/>
    </row>
    <row r="210">
      <c r="D210">
        <f t="array" ref="D210">IF(B210="","",IFERROR(INDEX(KeywordGroupRange,MATCH(TRUE,ISNUMBER(SEARCH(KeywordRange,B210&amp;" "&amp;C210)),0)),""))</f>
        <v/>
      </c>
      <c r="E210">
        <f>IF(B210="","",D210)</f>
        <v/>
      </c>
      <c r="F210" s="8" t="n"/>
      <c r="G210" s="8" t="n"/>
      <c r="H210" s="8" t="n"/>
      <c r="I210" s="8" t="n"/>
    </row>
    <row r="211">
      <c r="D211">
        <f t="array" ref="D211">IF(B211="","",IFERROR(INDEX(KeywordGroupRange,MATCH(TRUE,ISNUMBER(SEARCH(KeywordRange,B211&amp;" "&amp;C211)),0)),""))</f>
        <v/>
      </c>
      <c r="E211">
        <f>IF(B211="","",D211)</f>
        <v/>
      </c>
      <c r="F211" s="8" t="n"/>
      <c r="G211" s="8" t="n"/>
      <c r="H211" s="8" t="n"/>
      <c r="I211" s="8" t="n"/>
    </row>
    <row r="212">
      <c r="D212">
        <f t="array" ref="D212">IF(B212="","",IFERROR(INDEX(KeywordGroupRange,MATCH(TRUE,ISNUMBER(SEARCH(KeywordRange,B212&amp;" "&amp;C212)),0)),""))</f>
        <v/>
      </c>
      <c r="E212">
        <f>IF(B212="","",D212)</f>
        <v/>
      </c>
      <c r="F212" s="8" t="n"/>
      <c r="G212" s="8" t="n"/>
      <c r="H212" s="8" t="n"/>
      <c r="I212" s="8" t="n"/>
    </row>
    <row r="213">
      <c r="D213">
        <f t="array" ref="D213">IF(B213="","",IFERROR(INDEX(KeywordGroupRange,MATCH(TRUE,ISNUMBER(SEARCH(KeywordRange,B213&amp;" "&amp;C213)),0)),""))</f>
        <v/>
      </c>
      <c r="E213">
        <f>IF(B213="","",D213)</f>
        <v/>
      </c>
      <c r="F213" s="8" t="n"/>
      <c r="G213" s="8" t="n"/>
      <c r="H213" s="8" t="n"/>
      <c r="I213" s="8" t="n"/>
    </row>
    <row r="214">
      <c r="D214">
        <f t="array" ref="D214">IF(B214="","",IFERROR(INDEX(KeywordGroupRange,MATCH(TRUE,ISNUMBER(SEARCH(KeywordRange,B214&amp;" "&amp;C214)),0)),""))</f>
        <v/>
      </c>
      <c r="E214">
        <f>IF(B214="","",D214)</f>
        <v/>
      </c>
      <c r="F214" s="8" t="n"/>
      <c r="G214" s="8" t="n"/>
      <c r="H214" s="8" t="n"/>
      <c r="I214" s="8" t="n"/>
    </row>
    <row r="215">
      <c r="D215">
        <f t="array" ref="D215">IF(B215="","",IFERROR(INDEX(KeywordGroupRange,MATCH(TRUE,ISNUMBER(SEARCH(KeywordRange,B215&amp;" "&amp;C215)),0)),""))</f>
        <v/>
      </c>
      <c r="E215">
        <f>IF(B215="","",D215)</f>
        <v/>
      </c>
      <c r="F215" s="8" t="n"/>
      <c r="G215" s="8" t="n"/>
      <c r="H215" s="8" t="n"/>
      <c r="I215" s="8" t="n"/>
    </row>
    <row r="216">
      <c r="D216">
        <f t="array" ref="D216">IF(B216="","",IFERROR(INDEX(KeywordGroupRange,MATCH(TRUE,ISNUMBER(SEARCH(KeywordRange,B216&amp;" "&amp;C216)),0)),""))</f>
        <v/>
      </c>
      <c r="E216">
        <f>IF(B216="","",D216)</f>
        <v/>
      </c>
      <c r="F216" s="8" t="n"/>
      <c r="G216" s="8" t="n"/>
      <c r="H216" s="8" t="n"/>
      <c r="I216" s="8" t="n"/>
    </row>
    <row r="217">
      <c r="D217">
        <f t="array" ref="D217">IF(B217="","",IFERROR(INDEX(KeywordGroupRange,MATCH(TRUE,ISNUMBER(SEARCH(KeywordRange,B217&amp;" "&amp;C217)),0)),""))</f>
        <v/>
      </c>
      <c r="E217">
        <f>IF(B217="","",D217)</f>
        <v/>
      </c>
      <c r="F217" s="8" t="n"/>
      <c r="G217" s="8" t="n"/>
      <c r="H217" s="8" t="n"/>
      <c r="I217" s="8" t="n"/>
    </row>
    <row r="218">
      <c r="D218">
        <f t="array" ref="D218">IF(B218="","",IFERROR(INDEX(KeywordGroupRange,MATCH(TRUE,ISNUMBER(SEARCH(KeywordRange,B218&amp;" "&amp;C218)),0)),""))</f>
        <v/>
      </c>
      <c r="E218">
        <f>IF(B218="","",D218)</f>
        <v/>
      </c>
      <c r="F218" s="8" t="n"/>
      <c r="G218" s="8" t="n"/>
      <c r="H218" s="8" t="n"/>
      <c r="I218" s="8" t="n"/>
    </row>
    <row r="219">
      <c r="D219">
        <f t="array" ref="D219">IF(B219="","",IFERROR(INDEX(KeywordGroupRange,MATCH(TRUE,ISNUMBER(SEARCH(KeywordRange,B219&amp;" "&amp;C219)),0)),""))</f>
        <v/>
      </c>
      <c r="E219">
        <f>IF(B219="","",D219)</f>
        <v/>
      </c>
      <c r="F219" s="8" t="n"/>
      <c r="G219" s="8" t="n"/>
      <c r="H219" s="8" t="n"/>
      <c r="I219" s="8" t="n"/>
    </row>
    <row r="220">
      <c r="D220">
        <f t="array" ref="D220">IF(B220="","",IFERROR(INDEX(KeywordGroupRange,MATCH(TRUE,ISNUMBER(SEARCH(KeywordRange,B220&amp;" "&amp;C220)),0)),""))</f>
        <v/>
      </c>
      <c r="E220">
        <f>IF(B220="","",D220)</f>
        <v/>
      </c>
      <c r="F220" s="8" t="n"/>
      <c r="G220" s="8" t="n"/>
      <c r="H220" s="8" t="n"/>
      <c r="I220" s="8" t="n"/>
    </row>
    <row r="221">
      <c r="D221">
        <f t="array" ref="D221">IF(B221="","",IFERROR(INDEX(KeywordGroupRange,MATCH(TRUE,ISNUMBER(SEARCH(KeywordRange,B221&amp;" "&amp;C221)),0)),""))</f>
        <v/>
      </c>
      <c r="E221">
        <f>IF(B221="","",D221)</f>
        <v/>
      </c>
      <c r="F221" s="8" t="n"/>
      <c r="G221" s="8" t="n"/>
      <c r="H221" s="8" t="n"/>
      <c r="I221" s="8" t="n"/>
    </row>
    <row r="222">
      <c r="D222">
        <f t="array" ref="D222">IF(B222="","",IFERROR(INDEX(KeywordGroupRange,MATCH(TRUE,ISNUMBER(SEARCH(KeywordRange,B222&amp;" "&amp;C222)),0)),""))</f>
        <v/>
      </c>
      <c r="E222">
        <f>IF(B222="","",D222)</f>
        <v/>
      </c>
      <c r="F222" s="8" t="n"/>
      <c r="G222" s="8" t="n"/>
      <c r="H222" s="8" t="n"/>
      <c r="I222" s="8" t="n"/>
    </row>
    <row r="223">
      <c r="D223">
        <f t="array" ref="D223">IF(B223="","",IFERROR(INDEX(KeywordGroupRange,MATCH(TRUE,ISNUMBER(SEARCH(KeywordRange,B223&amp;" "&amp;C223)),0)),""))</f>
        <v/>
      </c>
      <c r="E223">
        <f>IF(B223="","",D223)</f>
        <v/>
      </c>
      <c r="F223" s="8" t="n"/>
      <c r="G223" s="8" t="n"/>
      <c r="H223" s="8" t="n"/>
      <c r="I223" s="8" t="n"/>
    </row>
    <row r="224">
      <c r="D224">
        <f t="array" ref="D224">IF(B224="","",IFERROR(INDEX(KeywordGroupRange,MATCH(TRUE,ISNUMBER(SEARCH(KeywordRange,B224&amp;" "&amp;C224)),0)),""))</f>
        <v/>
      </c>
      <c r="E224">
        <f>IF(B224="","",D224)</f>
        <v/>
      </c>
      <c r="F224" s="8" t="n"/>
      <c r="G224" s="8" t="n"/>
      <c r="H224" s="8" t="n"/>
      <c r="I224" s="8" t="n"/>
    </row>
    <row r="225">
      <c r="D225">
        <f t="array" ref="D225">IF(B225="","",IFERROR(INDEX(KeywordGroupRange,MATCH(TRUE,ISNUMBER(SEARCH(KeywordRange,B225&amp;" "&amp;C225)),0)),""))</f>
        <v/>
      </c>
      <c r="E225">
        <f>IF(B225="","",D225)</f>
        <v/>
      </c>
      <c r="F225" s="8" t="n"/>
      <c r="G225" s="8" t="n"/>
      <c r="H225" s="8" t="n"/>
      <c r="I225" s="8" t="n"/>
    </row>
    <row r="226">
      <c r="D226">
        <f t="array" ref="D226">IF(B226="","",IFERROR(INDEX(KeywordGroupRange,MATCH(TRUE,ISNUMBER(SEARCH(KeywordRange,B226&amp;" "&amp;C226)),0)),""))</f>
        <v/>
      </c>
      <c r="E226">
        <f>IF(B226="","",D226)</f>
        <v/>
      </c>
      <c r="F226" s="8" t="n"/>
      <c r="G226" s="8" t="n"/>
      <c r="H226" s="8" t="n"/>
      <c r="I226" s="8" t="n"/>
    </row>
    <row r="227">
      <c r="D227">
        <f t="array" ref="D227">IF(B227="","",IFERROR(INDEX(KeywordGroupRange,MATCH(TRUE,ISNUMBER(SEARCH(KeywordRange,B227&amp;" "&amp;C227)),0)),""))</f>
        <v/>
      </c>
      <c r="E227">
        <f>IF(B227="","",D227)</f>
        <v/>
      </c>
      <c r="F227" s="8" t="n"/>
      <c r="G227" s="8" t="n"/>
      <c r="H227" s="8" t="n"/>
      <c r="I227" s="8" t="n"/>
    </row>
    <row r="228">
      <c r="D228">
        <f t="array" ref="D228">IF(B228="","",IFERROR(INDEX(KeywordGroupRange,MATCH(TRUE,ISNUMBER(SEARCH(KeywordRange,B228&amp;" "&amp;C228)),0)),""))</f>
        <v/>
      </c>
      <c r="E228">
        <f>IF(B228="","",D228)</f>
        <v/>
      </c>
      <c r="F228" s="8" t="n"/>
      <c r="G228" s="8" t="n"/>
      <c r="H228" s="8" t="n"/>
      <c r="I228" s="8" t="n"/>
    </row>
    <row r="229">
      <c r="D229">
        <f t="array" ref="D229">IF(B229="","",IFERROR(INDEX(KeywordGroupRange,MATCH(TRUE,ISNUMBER(SEARCH(KeywordRange,B229&amp;" "&amp;C229)),0)),""))</f>
        <v/>
      </c>
      <c r="E229">
        <f>IF(B229="","",D229)</f>
        <v/>
      </c>
      <c r="F229" s="8" t="n"/>
      <c r="G229" s="8" t="n"/>
      <c r="H229" s="8" t="n"/>
      <c r="I229" s="8" t="n"/>
    </row>
    <row r="230">
      <c r="D230">
        <f t="array" ref="D230">IF(B230="","",IFERROR(INDEX(KeywordGroupRange,MATCH(TRUE,ISNUMBER(SEARCH(KeywordRange,B230&amp;" "&amp;C230)),0)),""))</f>
        <v/>
      </c>
      <c r="E230">
        <f>IF(B230="","",D230)</f>
        <v/>
      </c>
      <c r="F230" s="8" t="n"/>
      <c r="G230" s="8" t="n"/>
      <c r="H230" s="8" t="n"/>
      <c r="I230" s="8" t="n"/>
    </row>
    <row r="231">
      <c r="D231">
        <f t="array" ref="D231">IF(B231="","",IFERROR(INDEX(KeywordGroupRange,MATCH(TRUE,ISNUMBER(SEARCH(KeywordRange,B231&amp;" "&amp;C231)),0)),""))</f>
        <v/>
      </c>
      <c r="E231">
        <f>IF(B231="","",D231)</f>
        <v/>
      </c>
      <c r="F231" s="8" t="n"/>
      <c r="G231" s="8" t="n"/>
      <c r="H231" s="8" t="n"/>
      <c r="I231" s="8" t="n"/>
    </row>
    <row r="232">
      <c r="D232">
        <f t="array" ref="D232">IF(B232="","",IFERROR(INDEX(KeywordGroupRange,MATCH(TRUE,ISNUMBER(SEARCH(KeywordRange,B232&amp;" "&amp;C232)),0)),""))</f>
        <v/>
      </c>
      <c r="E232">
        <f>IF(B232="","",D232)</f>
        <v/>
      </c>
      <c r="F232" s="8" t="n"/>
      <c r="G232" s="8" t="n"/>
      <c r="H232" s="8" t="n"/>
      <c r="I232" s="8" t="n"/>
    </row>
    <row r="233">
      <c r="D233">
        <f t="array" ref="D233">IF(B233="","",IFERROR(INDEX(KeywordGroupRange,MATCH(TRUE,ISNUMBER(SEARCH(KeywordRange,B233&amp;" "&amp;C233)),0)),""))</f>
        <v/>
      </c>
      <c r="E233">
        <f>IF(B233="","",D233)</f>
        <v/>
      </c>
      <c r="F233" s="8" t="n"/>
      <c r="G233" s="8" t="n"/>
      <c r="H233" s="8" t="n"/>
      <c r="I233" s="8" t="n"/>
    </row>
    <row r="234">
      <c r="D234">
        <f t="array" ref="D234">IF(B234="","",IFERROR(INDEX(KeywordGroupRange,MATCH(TRUE,ISNUMBER(SEARCH(KeywordRange,B234&amp;" "&amp;C234)),0)),""))</f>
        <v/>
      </c>
      <c r="E234">
        <f>IF(B234="","",D234)</f>
        <v/>
      </c>
      <c r="F234" s="8" t="n"/>
      <c r="G234" s="8" t="n"/>
      <c r="H234" s="8" t="n"/>
      <c r="I234" s="8" t="n"/>
    </row>
    <row r="235">
      <c r="D235">
        <f t="array" ref="D235">IF(B235="","",IFERROR(INDEX(KeywordGroupRange,MATCH(TRUE,ISNUMBER(SEARCH(KeywordRange,B235&amp;" "&amp;C235)),0)),""))</f>
        <v/>
      </c>
      <c r="E235">
        <f>IF(B235="","",D235)</f>
        <v/>
      </c>
      <c r="F235" s="8" t="n"/>
      <c r="G235" s="8" t="n"/>
      <c r="H235" s="8" t="n"/>
      <c r="I235" s="8" t="n"/>
    </row>
    <row r="236">
      <c r="D236">
        <f t="array" ref="D236">IF(B236="","",IFERROR(INDEX(KeywordGroupRange,MATCH(TRUE,ISNUMBER(SEARCH(KeywordRange,B236&amp;" "&amp;C236)),0)),""))</f>
        <v/>
      </c>
      <c r="E236">
        <f>IF(B236="","",D236)</f>
        <v/>
      </c>
      <c r="F236" s="8" t="n"/>
      <c r="G236" s="8" t="n"/>
      <c r="H236" s="8" t="n"/>
      <c r="I236" s="8" t="n"/>
    </row>
    <row r="237">
      <c r="D237">
        <f t="array" ref="D237">IF(B237="","",IFERROR(INDEX(KeywordGroupRange,MATCH(TRUE,ISNUMBER(SEARCH(KeywordRange,B237&amp;" "&amp;C237)),0)),""))</f>
        <v/>
      </c>
      <c r="E237">
        <f>IF(B237="","",D237)</f>
        <v/>
      </c>
      <c r="F237" s="8" t="n"/>
      <c r="G237" s="8" t="n"/>
      <c r="H237" s="8" t="n"/>
      <c r="I237" s="8" t="n"/>
    </row>
    <row r="238">
      <c r="D238">
        <f t="array" ref="D238">IF(B238="","",IFERROR(INDEX(KeywordGroupRange,MATCH(TRUE,ISNUMBER(SEARCH(KeywordRange,B238&amp;" "&amp;C238)),0)),""))</f>
        <v/>
      </c>
      <c r="E238">
        <f>IF(B238="","",D238)</f>
        <v/>
      </c>
      <c r="F238" s="8" t="n"/>
      <c r="G238" s="8" t="n"/>
      <c r="H238" s="8" t="n"/>
      <c r="I238" s="8" t="n"/>
    </row>
    <row r="239">
      <c r="D239">
        <f t="array" ref="D239">IF(B239="","",IFERROR(INDEX(KeywordGroupRange,MATCH(TRUE,ISNUMBER(SEARCH(KeywordRange,B239&amp;" "&amp;C239)),0)),""))</f>
        <v/>
      </c>
      <c r="E239">
        <f>IF(B239="","",D239)</f>
        <v/>
      </c>
      <c r="F239" s="8" t="n"/>
      <c r="G239" s="8" t="n"/>
      <c r="H239" s="8" t="n"/>
      <c r="I239" s="8" t="n"/>
    </row>
    <row r="240">
      <c r="D240">
        <f t="array" ref="D240">IF(B240="","",IFERROR(INDEX(KeywordGroupRange,MATCH(TRUE,ISNUMBER(SEARCH(KeywordRange,B240&amp;" "&amp;C240)),0)),""))</f>
        <v/>
      </c>
      <c r="E240">
        <f>IF(B240="","",D240)</f>
        <v/>
      </c>
      <c r="F240" s="8" t="n"/>
      <c r="G240" s="8" t="n"/>
      <c r="H240" s="8" t="n"/>
      <c r="I240" s="8" t="n"/>
    </row>
    <row r="241">
      <c r="D241">
        <f t="array" ref="D241">IF(B241="","",IFERROR(INDEX(KeywordGroupRange,MATCH(TRUE,ISNUMBER(SEARCH(KeywordRange,B241&amp;" "&amp;C241)),0)),""))</f>
        <v/>
      </c>
      <c r="E241">
        <f>IF(B241="","",D241)</f>
        <v/>
      </c>
      <c r="F241" s="8" t="n"/>
      <c r="G241" s="8" t="n"/>
      <c r="H241" s="8" t="n"/>
      <c r="I241" s="8" t="n"/>
    </row>
    <row r="242">
      <c r="D242">
        <f t="array" ref="D242">IF(B242="","",IFERROR(INDEX(KeywordGroupRange,MATCH(TRUE,ISNUMBER(SEARCH(KeywordRange,B242&amp;" "&amp;C242)),0)),""))</f>
        <v/>
      </c>
      <c r="E242">
        <f>IF(B242="","",D242)</f>
        <v/>
      </c>
      <c r="F242" s="8" t="n"/>
      <c r="G242" s="8" t="n"/>
      <c r="H242" s="8" t="n"/>
      <c r="I242" s="8" t="n"/>
    </row>
    <row r="243">
      <c r="D243">
        <f t="array" ref="D243">IF(B243="","",IFERROR(INDEX(KeywordGroupRange,MATCH(TRUE,ISNUMBER(SEARCH(KeywordRange,B243&amp;" "&amp;C243)),0)),""))</f>
        <v/>
      </c>
      <c r="E243">
        <f>IF(B243="","",D243)</f>
        <v/>
      </c>
      <c r="F243" s="8" t="n"/>
      <c r="G243" s="8" t="n"/>
      <c r="H243" s="8" t="n"/>
      <c r="I243" s="8" t="n"/>
    </row>
    <row r="244">
      <c r="D244">
        <f t="array" ref="D244">IF(B244="","",IFERROR(INDEX(KeywordGroupRange,MATCH(TRUE,ISNUMBER(SEARCH(KeywordRange,B244&amp;" "&amp;C244)),0)),""))</f>
        <v/>
      </c>
      <c r="E244">
        <f>IF(B244="","",D244)</f>
        <v/>
      </c>
      <c r="F244" s="8" t="n"/>
      <c r="G244" s="8" t="n"/>
      <c r="H244" s="8" t="n"/>
      <c r="I244" s="8" t="n"/>
    </row>
    <row r="245">
      <c r="D245">
        <f t="array" ref="D245">IF(B245="","",IFERROR(INDEX(KeywordGroupRange,MATCH(TRUE,ISNUMBER(SEARCH(KeywordRange,B245&amp;" "&amp;C245)),0)),""))</f>
        <v/>
      </c>
      <c r="E245">
        <f>IF(B245="","",D245)</f>
        <v/>
      </c>
      <c r="F245" s="8" t="n"/>
      <c r="G245" s="8" t="n"/>
      <c r="H245" s="8" t="n"/>
      <c r="I245" s="8" t="n"/>
    </row>
    <row r="246">
      <c r="D246">
        <f t="array" ref="D246">IF(B246="","",IFERROR(INDEX(KeywordGroupRange,MATCH(TRUE,ISNUMBER(SEARCH(KeywordRange,B246&amp;" "&amp;C246)),0)),""))</f>
        <v/>
      </c>
      <c r="E246">
        <f>IF(B246="","",D246)</f>
        <v/>
      </c>
      <c r="F246" s="8" t="n"/>
      <c r="G246" s="8" t="n"/>
      <c r="H246" s="8" t="n"/>
      <c r="I246" s="8" t="n"/>
    </row>
    <row r="247">
      <c r="D247">
        <f t="array" ref="D247">IF(B247="","",IFERROR(INDEX(KeywordGroupRange,MATCH(TRUE,ISNUMBER(SEARCH(KeywordRange,B247&amp;" "&amp;C247)),0)),""))</f>
        <v/>
      </c>
      <c r="E247">
        <f>IF(B247="","",D247)</f>
        <v/>
      </c>
      <c r="F247" s="8" t="n"/>
      <c r="G247" s="8" t="n"/>
      <c r="H247" s="8" t="n"/>
      <c r="I247" s="8" t="n"/>
    </row>
    <row r="248">
      <c r="D248">
        <f t="array" ref="D248">IF(B248="","",IFERROR(INDEX(KeywordGroupRange,MATCH(TRUE,ISNUMBER(SEARCH(KeywordRange,B248&amp;" "&amp;C248)),0)),""))</f>
        <v/>
      </c>
      <c r="E248">
        <f>IF(B248="","",D248)</f>
        <v/>
      </c>
      <c r="F248" s="8" t="n"/>
      <c r="G248" s="8" t="n"/>
      <c r="H248" s="8" t="n"/>
      <c r="I248" s="8" t="n"/>
    </row>
    <row r="249">
      <c r="D249">
        <f t="array" ref="D249">IF(B249="","",IFERROR(INDEX(KeywordGroupRange,MATCH(TRUE,ISNUMBER(SEARCH(KeywordRange,B249&amp;" "&amp;C249)),0)),""))</f>
        <v/>
      </c>
      <c r="E249">
        <f>IF(B249="","",D249)</f>
        <v/>
      </c>
      <c r="F249" s="8" t="n"/>
      <c r="G249" s="8" t="n"/>
      <c r="H249" s="8" t="n"/>
      <c r="I249" s="8" t="n"/>
    </row>
    <row r="250">
      <c r="D250">
        <f t="array" ref="D250">IF(B250="","",IFERROR(INDEX(KeywordGroupRange,MATCH(TRUE,ISNUMBER(SEARCH(KeywordRange,B250&amp;" "&amp;C250)),0)),""))</f>
        <v/>
      </c>
      <c r="E250">
        <f>IF(B250="","",D250)</f>
        <v/>
      </c>
      <c r="F250" s="8" t="n"/>
      <c r="G250" s="8" t="n"/>
      <c r="H250" s="8" t="n"/>
      <c r="I250" s="8" t="n"/>
    </row>
    <row r="251">
      <c r="D251">
        <f t="array" ref="D251">IF(B251="","",IFERROR(INDEX(KeywordGroupRange,MATCH(TRUE,ISNUMBER(SEARCH(KeywordRange,B251&amp;" "&amp;C251)),0)),""))</f>
        <v/>
      </c>
      <c r="E251">
        <f>IF(B251="","",D251)</f>
        <v/>
      </c>
      <c r="F251" s="8" t="n"/>
      <c r="G251" s="8" t="n"/>
      <c r="H251" s="8" t="n"/>
      <c r="I251" s="8" t="n"/>
    </row>
    <row r="252">
      <c r="D252">
        <f t="array" ref="D252">IF(B252="","",IFERROR(INDEX(KeywordGroupRange,MATCH(TRUE,ISNUMBER(SEARCH(KeywordRange,B252&amp;" "&amp;C252)),0)),""))</f>
        <v/>
      </c>
      <c r="E252">
        <f>IF(B252="","",D252)</f>
        <v/>
      </c>
      <c r="F252" s="8" t="n"/>
      <c r="G252" s="8" t="n"/>
      <c r="H252" s="8" t="n"/>
      <c r="I252" s="8" t="n"/>
    </row>
    <row r="253">
      <c r="D253">
        <f t="array" ref="D253">IF(B253="","",IFERROR(INDEX(KeywordGroupRange,MATCH(TRUE,ISNUMBER(SEARCH(KeywordRange,B253&amp;" "&amp;C253)),0)),""))</f>
        <v/>
      </c>
      <c r="E253">
        <f>IF(B253="","",D253)</f>
        <v/>
      </c>
      <c r="F253" s="8" t="n"/>
      <c r="G253" s="8" t="n"/>
      <c r="H253" s="8" t="n"/>
      <c r="I253" s="8" t="n"/>
    </row>
    <row r="254">
      <c r="D254">
        <f t="array" ref="D254">IF(B254="","",IFERROR(INDEX(KeywordGroupRange,MATCH(TRUE,ISNUMBER(SEARCH(KeywordRange,B254&amp;" "&amp;C254)),0)),""))</f>
        <v/>
      </c>
      <c r="E254">
        <f>IF(B254="","",D254)</f>
        <v/>
      </c>
      <c r="F254" s="8" t="n"/>
      <c r="G254" s="8" t="n"/>
      <c r="H254" s="8" t="n"/>
      <c r="I254" s="8" t="n"/>
    </row>
    <row r="255">
      <c r="D255">
        <f t="array" ref="D255">IF(B255="","",IFERROR(INDEX(KeywordGroupRange,MATCH(TRUE,ISNUMBER(SEARCH(KeywordRange,B255&amp;" "&amp;C255)),0)),""))</f>
        <v/>
      </c>
      <c r="E255">
        <f>IF(B255="","",D255)</f>
        <v/>
      </c>
      <c r="F255" s="8" t="n"/>
      <c r="G255" s="8" t="n"/>
      <c r="H255" s="8" t="n"/>
      <c r="I255" s="8" t="n"/>
    </row>
    <row r="256">
      <c r="D256">
        <f t="array" ref="D256">IF(B256="","",IFERROR(INDEX(KeywordGroupRange,MATCH(TRUE,ISNUMBER(SEARCH(KeywordRange,B256&amp;" "&amp;C256)),0)),""))</f>
        <v/>
      </c>
      <c r="E256">
        <f>IF(B256="","",D256)</f>
        <v/>
      </c>
      <c r="F256" s="8" t="n"/>
      <c r="G256" s="8" t="n"/>
      <c r="H256" s="8" t="n"/>
      <c r="I256" s="8" t="n"/>
    </row>
    <row r="257">
      <c r="D257">
        <f t="array" ref="D257">IF(B257="","",IFERROR(INDEX(KeywordGroupRange,MATCH(TRUE,ISNUMBER(SEARCH(KeywordRange,B257&amp;" "&amp;C257)),0)),""))</f>
        <v/>
      </c>
      <c r="E257">
        <f>IF(B257="","",D257)</f>
        <v/>
      </c>
      <c r="F257" s="8" t="n"/>
      <c r="G257" s="8" t="n"/>
      <c r="H257" s="8" t="n"/>
      <c r="I257" s="8" t="n"/>
    </row>
    <row r="258">
      <c r="D258">
        <f t="array" ref="D258">IF(B258="","",IFERROR(INDEX(KeywordGroupRange,MATCH(TRUE,ISNUMBER(SEARCH(KeywordRange,B258&amp;" "&amp;C258)),0)),""))</f>
        <v/>
      </c>
      <c r="E258">
        <f>IF(B258="","",D258)</f>
        <v/>
      </c>
      <c r="F258" s="8" t="n"/>
      <c r="G258" s="8" t="n"/>
      <c r="H258" s="8" t="n"/>
      <c r="I258" s="8" t="n"/>
    </row>
    <row r="259">
      <c r="D259">
        <f t="array" ref="D259">IF(B259="","",IFERROR(INDEX(KeywordGroupRange,MATCH(TRUE,ISNUMBER(SEARCH(KeywordRange,B259&amp;" "&amp;C259)),0)),""))</f>
        <v/>
      </c>
      <c r="E259">
        <f>IF(B259="","",D259)</f>
        <v/>
      </c>
      <c r="F259" s="8" t="n"/>
      <c r="G259" s="8" t="n"/>
      <c r="H259" s="8" t="n"/>
      <c r="I259" s="8" t="n"/>
    </row>
    <row r="260">
      <c r="D260">
        <f t="array" ref="D260">IF(B260="","",IFERROR(INDEX(KeywordGroupRange,MATCH(TRUE,ISNUMBER(SEARCH(KeywordRange,B260&amp;" "&amp;C260)),0)),""))</f>
        <v/>
      </c>
      <c r="E260">
        <f>IF(B260="","",D260)</f>
        <v/>
      </c>
      <c r="F260" s="8" t="n"/>
      <c r="G260" s="8" t="n"/>
      <c r="H260" s="8" t="n"/>
      <c r="I260" s="8" t="n"/>
    </row>
    <row r="261">
      <c r="D261">
        <f t="array" ref="D261">IF(B261="","",IFERROR(INDEX(KeywordGroupRange,MATCH(TRUE,ISNUMBER(SEARCH(KeywordRange,B261&amp;" "&amp;C261)),0)),""))</f>
        <v/>
      </c>
      <c r="E261">
        <f>IF(B261="","",D261)</f>
        <v/>
      </c>
      <c r="F261" s="8" t="n"/>
      <c r="G261" s="8" t="n"/>
      <c r="H261" s="8" t="n"/>
      <c r="I261" s="8" t="n"/>
    </row>
    <row r="262">
      <c r="D262">
        <f t="array" ref="D262">IF(B262="","",IFERROR(INDEX(KeywordGroupRange,MATCH(TRUE,ISNUMBER(SEARCH(KeywordRange,B262&amp;" "&amp;C262)),0)),""))</f>
        <v/>
      </c>
      <c r="E262">
        <f>IF(B262="","",D262)</f>
        <v/>
      </c>
      <c r="F262" s="8" t="n"/>
      <c r="G262" s="8" t="n"/>
      <c r="H262" s="8" t="n"/>
      <c r="I262" s="8" t="n"/>
    </row>
    <row r="263">
      <c r="D263">
        <f t="array" ref="D263">IF(B263="","",IFERROR(INDEX(KeywordGroupRange,MATCH(TRUE,ISNUMBER(SEARCH(KeywordRange,B263&amp;" "&amp;C263)),0)),""))</f>
        <v/>
      </c>
      <c r="E263">
        <f>IF(B263="","",D263)</f>
        <v/>
      </c>
      <c r="F263" s="8" t="n"/>
      <c r="G263" s="8" t="n"/>
      <c r="H263" s="8" t="n"/>
      <c r="I263" s="8" t="n"/>
    </row>
    <row r="264">
      <c r="D264">
        <f t="array" ref="D264">IF(B264="","",IFERROR(INDEX(KeywordGroupRange,MATCH(TRUE,ISNUMBER(SEARCH(KeywordRange,B264&amp;" "&amp;C264)),0)),""))</f>
        <v/>
      </c>
      <c r="E264">
        <f>IF(B264="","",D264)</f>
        <v/>
      </c>
      <c r="F264" s="8" t="n"/>
      <c r="G264" s="8" t="n"/>
      <c r="H264" s="8" t="n"/>
      <c r="I264" s="8" t="n"/>
    </row>
    <row r="265">
      <c r="D265">
        <f t="array" ref="D265">IF(B265="","",IFERROR(INDEX(KeywordGroupRange,MATCH(TRUE,ISNUMBER(SEARCH(KeywordRange,B265&amp;" "&amp;C265)),0)),""))</f>
        <v/>
      </c>
      <c r="E265">
        <f>IF(B265="","",D265)</f>
        <v/>
      </c>
      <c r="F265" s="8" t="n"/>
      <c r="G265" s="8" t="n"/>
      <c r="H265" s="8" t="n"/>
      <c r="I265" s="8" t="n"/>
    </row>
    <row r="266">
      <c r="D266">
        <f t="array" ref="D266">IF(B266="","",IFERROR(INDEX(KeywordGroupRange,MATCH(TRUE,ISNUMBER(SEARCH(KeywordRange,B266&amp;" "&amp;C266)),0)),""))</f>
        <v/>
      </c>
      <c r="E266">
        <f>IF(B266="","",D266)</f>
        <v/>
      </c>
      <c r="F266" s="8" t="n"/>
      <c r="G266" s="8" t="n"/>
      <c r="H266" s="8" t="n"/>
      <c r="I266" s="8" t="n"/>
    </row>
    <row r="267">
      <c r="D267">
        <f t="array" ref="D267">IF(B267="","",IFERROR(INDEX(KeywordGroupRange,MATCH(TRUE,ISNUMBER(SEARCH(KeywordRange,B267&amp;" "&amp;C267)),0)),""))</f>
        <v/>
      </c>
      <c r="E267">
        <f>IF(B267="","",D267)</f>
        <v/>
      </c>
      <c r="F267" s="8" t="n"/>
      <c r="G267" s="8" t="n"/>
      <c r="H267" s="8" t="n"/>
      <c r="I267" s="8" t="n"/>
    </row>
    <row r="268">
      <c r="D268">
        <f t="array" ref="D268">IF(B268="","",IFERROR(INDEX(KeywordGroupRange,MATCH(TRUE,ISNUMBER(SEARCH(KeywordRange,B268&amp;" "&amp;C268)),0)),""))</f>
        <v/>
      </c>
      <c r="E268">
        <f>IF(B268="","",D268)</f>
        <v/>
      </c>
      <c r="F268" s="8" t="n"/>
      <c r="G268" s="8" t="n"/>
      <c r="H268" s="8" t="n"/>
      <c r="I268" s="8" t="n"/>
    </row>
    <row r="269">
      <c r="D269">
        <f t="array" ref="D269">IF(B269="","",IFERROR(INDEX(KeywordGroupRange,MATCH(TRUE,ISNUMBER(SEARCH(KeywordRange,B269&amp;" "&amp;C269)),0)),""))</f>
        <v/>
      </c>
      <c r="E269">
        <f>IF(B269="","",D269)</f>
        <v/>
      </c>
      <c r="F269" s="8" t="n"/>
      <c r="G269" s="8" t="n"/>
      <c r="H269" s="8" t="n"/>
      <c r="I269" s="8" t="n"/>
    </row>
    <row r="270">
      <c r="D270">
        <f t="array" ref="D270">IF(B270="","",IFERROR(INDEX(KeywordGroupRange,MATCH(TRUE,ISNUMBER(SEARCH(KeywordRange,B270&amp;" "&amp;C270)),0)),""))</f>
        <v/>
      </c>
      <c r="E270">
        <f>IF(B270="","",D270)</f>
        <v/>
      </c>
      <c r="F270" s="8" t="n"/>
      <c r="G270" s="8" t="n"/>
      <c r="H270" s="8" t="n"/>
      <c r="I270" s="8" t="n"/>
    </row>
    <row r="271">
      <c r="D271">
        <f t="array" ref="D271">IF(B271="","",IFERROR(INDEX(KeywordGroupRange,MATCH(TRUE,ISNUMBER(SEARCH(KeywordRange,B271&amp;" "&amp;C271)),0)),""))</f>
        <v/>
      </c>
      <c r="E271">
        <f>IF(B271="","",D271)</f>
        <v/>
      </c>
      <c r="F271" s="8" t="n"/>
      <c r="G271" s="8" t="n"/>
      <c r="H271" s="8" t="n"/>
      <c r="I271" s="8" t="n"/>
    </row>
    <row r="272">
      <c r="D272">
        <f t="array" ref="D272">IF(B272="","",IFERROR(INDEX(KeywordGroupRange,MATCH(TRUE,ISNUMBER(SEARCH(KeywordRange,B272&amp;" "&amp;C272)),0)),""))</f>
        <v/>
      </c>
      <c r="E272">
        <f>IF(B272="","",D272)</f>
        <v/>
      </c>
      <c r="F272" s="8" t="n"/>
      <c r="G272" s="8" t="n"/>
      <c r="H272" s="8" t="n"/>
      <c r="I272" s="8" t="n"/>
    </row>
    <row r="273">
      <c r="D273">
        <f t="array" ref="D273">IF(B273="","",IFERROR(INDEX(KeywordGroupRange,MATCH(TRUE,ISNUMBER(SEARCH(KeywordRange,B273&amp;" "&amp;C273)),0)),""))</f>
        <v/>
      </c>
      <c r="E273">
        <f>IF(B273="","",D273)</f>
        <v/>
      </c>
      <c r="F273" s="8" t="n"/>
      <c r="G273" s="8" t="n"/>
      <c r="H273" s="8" t="n"/>
      <c r="I273" s="8" t="n"/>
    </row>
    <row r="274">
      <c r="D274">
        <f t="array" ref="D274">IF(B274="","",IFERROR(INDEX(KeywordGroupRange,MATCH(TRUE,ISNUMBER(SEARCH(KeywordRange,B274&amp;" "&amp;C274)),0)),""))</f>
        <v/>
      </c>
      <c r="E274">
        <f>IF(B274="","",D274)</f>
        <v/>
      </c>
      <c r="F274" s="8" t="n"/>
      <c r="G274" s="8" t="n"/>
      <c r="H274" s="8" t="n"/>
      <c r="I274" s="8" t="n"/>
    </row>
    <row r="275">
      <c r="D275">
        <f t="array" ref="D275">IF(B275="","",IFERROR(INDEX(KeywordGroupRange,MATCH(TRUE,ISNUMBER(SEARCH(KeywordRange,B275&amp;" "&amp;C275)),0)),""))</f>
        <v/>
      </c>
      <c r="E275">
        <f>IF(B275="","",D275)</f>
        <v/>
      </c>
      <c r="F275" s="8" t="n"/>
      <c r="G275" s="8" t="n"/>
      <c r="H275" s="8" t="n"/>
      <c r="I275" s="8" t="n"/>
    </row>
    <row r="276">
      <c r="D276">
        <f t="array" ref="D276">IF(B276="","",IFERROR(INDEX(KeywordGroupRange,MATCH(TRUE,ISNUMBER(SEARCH(KeywordRange,B276&amp;" "&amp;C276)),0)),""))</f>
        <v/>
      </c>
      <c r="E276">
        <f>IF(B276="","",D276)</f>
        <v/>
      </c>
      <c r="F276" s="8" t="n"/>
      <c r="G276" s="8" t="n"/>
      <c r="H276" s="8" t="n"/>
      <c r="I276" s="8" t="n"/>
    </row>
    <row r="277">
      <c r="D277">
        <f t="array" ref="D277">IF(B277="","",IFERROR(INDEX(KeywordGroupRange,MATCH(TRUE,ISNUMBER(SEARCH(KeywordRange,B277&amp;" "&amp;C277)),0)),""))</f>
        <v/>
      </c>
      <c r="E277">
        <f>IF(B277="","",D277)</f>
        <v/>
      </c>
      <c r="F277" s="8" t="n"/>
      <c r="G277" s="8" t="n"/>
      <c r="H277" s="8" t="n"/>
      <c r="I277" s="8" t="n"/>
    </row>
    <row r="278">
      <c r="D278">
        <f t="array" ref="D278">IF(B278="","",IFERROR(INDEX(KeywordGroupRange,MATCH(TRUE,ISNUMBER(SEARCH(KeywordRange,B278&amp;" "&amp;C278)),0)),""))</f>
        <v/>
      </c>
      <c r="E278">
        <f>IF(B278="","",D278)</f>
        <v/>
      </c>
      <c r="F278" s="8" t="n"/>
      <c r="G278" s="8" t="n"/>
      <c r="H278" s="8" t="n"/>
      <c r="I278" s="8" t="n"/>
    </row>
    <row r="279">
      <c r="D279">
        <f t="array" ref="D279">IF(B279="","",IFERROR(INDEX(KeywordGroupRange,MATCH(TRUE,ISNUMBER(SEARCH(KeywordRange,B279&amp;" "&amp;C279)),0)),""))</f>
        <v/>
      </c>
      <c r="E279">
        <f>IF(B279="","",D279)</f>
        <v/>
      </c>
      <c r="F279" s="8" t="n"/>
      <c r="G279" s="8" t="n"/>
      <c r="H279" s="8" t="n"/>
      <c r="I279" s="8" t="n"/>
    </row>
    <row r="280">
      <c r="D280">
        <f t="array" ref="D280">IF(B280="","",IFERROR(INDEX(KeywordGroupRange,MATCH(TRUE,ISNUMBER(SEARCH(KeywordRange,B280&amp;" "&amp;C280)),0)),""))</f>
        <v/>
      </c>
      <c r="E280">
        <f>IF(B280="","",D280)</f>
        <v/>
      </c>
      <c r="F280" s="8" t="n"/>
      <c r="G280" s="8" t="n"/>
      <c r="H280" s="8" t="n"/>
      <c r="I280" s="8" t="n"/>
    </row>
    <row r="281">
      <c r="D281">
        <f t="array" ref="D281">IF(B281="","",IFERROR(INDEX(KeywordGroupRange,MATCH(TRUE,ISNUMBER(SEARCH(KeywordRange,B281&amp;" "&amp;C281)),0)),""))</f>
        <v/>
      </c>
      <c r="E281">
        <f>IF(B281="","",D281)</f>
        <v/>
      </c>
      <c r="F281" s="8" t="n"/>
      <c r="G281" s="8" t="n"/>
      <c r="H281" s="8" t="n"/>
      <c r="I281" s="8" t="n"/>
    </row>
    <row r="282">
      <c r="D282">
        <f t="array" ref="D282">IF(B282="","",IFERROR(INDEX(KeywordGroupRange,MATCH(TRUE,ISNUMBER(SEARCH(KeywordRange,B282&amp;" "&amp;C282)),0)),""))</f>
        <v/>
      </c>
      <c r="E282">
        <f>IF(B282="","",D282)</f>
        <v/>
      </c>
      <c r="F282" s="8" t="n"/>
      <c r="G282" s="8" t="n"/>
      <c r="H282" s="8" t="n"/>
      <c r="I282" s="8" t="n"/>
    </row>
    <row r="283">
      <c r="D283">
        <f t="array" ref="D283">IF(B283="","",IFERROR(INDEX(KeywordGroupRange,MATCH(TRUE,ISNUMBER(SEARCH(KeywordRange,B283&amp;" "&amp;C283)),0)),""))</f>
        <v/>
      </c>
      <c r="E283">
        <f>IF(B283="","",D283)</f>
        <v/>
      </c>
      <c r="F283" s="8" t="n"/>
      <c r="G283" s="8" t="n"/>
      <c r="H283" s="8" t="n"/>
      <c r="I283" s="8" t="n"/>
    </row>
    <row r="284">
      <c r="D284">
        <f t="array" ref="D284">IF(B284="","",IFERROR(INDEX(KeywordGroupRange,MATCH(TRUE,ISNUMBER(SEARCH(KeywordRange,B284&amp;" "&amp;C284)),0)),""))</f>
        <v/>
      </c>
      <c r="E284">
        <f>IF(B284="","",D284)</f>
        <v/>
      </c>
      <c r="F284" s="8" t="n"/>
      <c r="G284" s="8" t="n"/>
      <c r="H284" s="8" t="n"/>
      <c r="I284" s="8" t="n"/>
    </row>
    <row r="285">
      <c r="D285">
        <f t="array" ref="D285">IF(B285="","",IFERROR(INDEX(KeywordGroupRange,MATCH(TRUE,ISNUMBER(SEARCH(KeywordRange,B285&amp;" "&amp;C285)),0)),""))</f>
        <v/>
      </c>
      <c r="E285">
        <f>IF(B285="","",D285)</f>
        <v/>
      </c>
      <c r="F285" s="8" t="n"/>
      <c r="G285" s="8" t="n"/>
      <c r="H285" s="8" t="n"/>
      <c r="I285" s="8" t="n"/>
    </row>
    <row r="286">
      <c r="D286">
        <f t="array" ref="D286">IF(B286="","",IFERROR(INDEX(KeywordGroupRange,MATCH(TRUE,ISNUMBER(SEARCH(KeywordRange,B286&amp;" "&amp;C286)),0)),""))</f>
        <v/>
      </c>
      <c r="E286">
        <f>IF(B286="","",D286)</f>
        <v/>
      </c>
      <c r="F286" s="8" t="n"/>
      <c r="G286" s="8" t="n"/>
      <c r="H286" s="8" t="n"/>
      <c r="I286" s="8" t="n"/>
    </row>
    <row r="287">
      <c r="D287">
        <f t="array" ref="D287">IF(B287="","",IFERROR(INDEX(KeywordGroupRange,MATCH(TRUE,ISNUMBER(SEARCH(KeywordRange,B287&amp;" "&amp;C287)),0)),""))</f>
        <v/>
      </c>
      <c r="E287">
        <f>IF(B287="","",D287)</f>
        <v/>
      </c>
      <c r="F287" s="8" t="n"/>
      <c r="G287" s="8" t="n"/>
      <c r="H287" s="8" t="n"/>
      <c r="I287" s="8" t="n"/>
    </row>
    <row r="288">
      <c r="D288">
        <f t="array" ref="D288">IF(B288="","",IFERROR(INDEX(KeywordGroupRange,MATCH(TRUE,ISNUMBER(SEARCH(KeywordRange,B288&amp;" "&amp;C288)),0)),""))</f>
        <v/>
      </c>
      <c r="E288">
        <f>IF(B288="","",D288)</f>
        <v/>
      </c>
      <c r="F288" s="8" t="n"/>
      <c r="G288" s="8" t="n"/>
      <c r="H288" s="8" t="n"/>
      <c r="I288" s="8" t="n"/>
    </row>
    <row r="289">
      <c r="D289">
        <f t="array" ref="D289">IF(B289="","",IFERROR(INDEX(KeywordGroupRange,MATCH(TRUE,ISNUMBER(SEARCH(KeywordRange,B289&amp;" "&amp;C289)),0)),""))</f>
        <v/>
      </c>
      <c r="E289">
        <f>IF(B289="","",D289)</f>
        <v/>
      </c>
      <c r="F289" s="8" t="n"/>
      <c r="G289" s="8" t="n"/>
      <c r="H289" s="8" t="n"/>
      <c r="I289" s="8" t="n"/>
    </row>
    <row r="290">
      <c r="D290">
        <f t="array" ref="D290">IF(B290="","",IFERROR(INDEX(KeywordGroupRange,MATCH(TRUE,ISNUMBER(SEARCH(KeywordRange,B290&amp;" "&amp;C290)),0)),""))</f>
        <v/>
      </c>
      <c r="E290">
        <f>IF(B290="","",D290)</f>
        <v/>
      </c>
      <c r="F290" s="8" t="n"/>
      <c r="G290" s="8" t="n"/>
      <c r="H290" s="8" t="n"/>
      <c r="I290" s="8" t="n"/>
    </row>
    <row r="291">
      <c r="D291">
        <f t="array" ref="D291">IF(B291="","",IFERROR(INDEX(KeywordGroupRange,MATCH(TRUE,ISNUMBER(SEARCH(KeywordRange,B291&amp;" "&amp;C291)),0)),""))</f>
        <v/>
      </c>
      <c r="E291">
        <f>IF(B291="","",D291)</f>
        <v/>
      </c>
      <c r="F291" s="8" t="n"/>
      <c r="G291" s="8" t="n"/>
      <c r="H291" s="8" t="n"/>
      <c r="I291" s="8" t="n"/>
    </row>
    <row r="292">
      <c r="D292">
        <f t="array" ref="D292">IF(B292="","",IFERROR(INDEX(KeywordGroupRange,MATCH(TRUE,ISNUMBER(SEARCH(KeywordRange,B292&amp;" "&amp;C292)),0)),""))</f>
        <v/>
      </c>
      <c r="E292">
        <f>IF(B292="","",D292)</f>
        <v/>
      </c>
      <c r="F292" s="8" t="n"/>
      <c r="G292" s="8" t="n"/>
      <c r="H292" s="8" t="n"/>
      <c r="I292" s="8" t="n"/>
    </row>
    <row r="293">
      <c r="D293">
        <f t="array" ref="D293">IF(B293="","",IFERROR(INDEX(KeywordGroupRange,MATCH(TRUE,ISNUMBER(SEARCH(KeywordRange,B293&amp;" "&amp;C293)),0)),""))</f>
        <v/>
      </c>
      <c r="E293">
        <f>IF(B293="","",D293)</f>
        <v/>
      </c>
      <c r="F293" s="8" t="n"/>
      <c r="G293" s="8" t="n"/>
      <c r="H293" s="8" t="n"/>
      <c r="I293" s="8" t="n"/>
    </row>
    <row r="294">
      <c r="D294">
        <f t="array" ref="D294">IF(B294="","",IFERROR(INDEX(KeywordGroupRange,MATCH(TRUE,ISNUMBER(SEARCH(KeywordRange,B294&amp;" "&amp;C294)),0)),""))</f>
        <v/>
      </c>
      <c r="E294">
        <f>IF(B294="","",D294)</f>
        <v/>
      </c>
      <c r="F294" s="8" t="n"/>
      <c r="G294" s="8" t="n"/>
      <c r="H294" s="8" t="n"/>
      <c r="I294" s="8" t="n"/>
    </row>
    <row r="295">
      <c r="D295">
        <f t="array" ref="D295">IF(B295="","",IFERROR(INDEX(KeywordGroupRange,MATCH(TRUE,ISNUMBER(SEARCH(KeywordRange,B295&amp;" "&amp;C295)),0)),""))</f>
        <v/>
      </c>
      <c r="E295">
        <f>IF(B295="","",D295)</f>
        <v/>
      </c>
      <c r="F295" s="8" t="n"/>
      <c r="G295" s="8" t="n"/>
      <c r="H295" s="8" t="n"/>
      <c r="I295" s="8" t="n"/>
    </row>
    <row r="296">
      <c r="D296">
        <f t="array" ref="D296">IF(B296="","",IFERROR(INDEX(KeywordGroupRange,MATCH(TRUE,ISNUMBER(SEARCH(KeywordRange,B296&amp;" "&amp;C296)),0)),""))</f>
        <v/>
      </c>
      <c r="E296">
        <f>IF(B296="","",D296)</f>
        <v/>
      </c>
      <c r="F296" s="8" t="n"/>
      <c r="G296" s="8" t="n"/>
      <c r="H296" s="8" t="n"/>
      <c r="I296" s="8" t="n"/>
    </row>
    <row r="297">
      <c r="D297">
        <f t="array" ref="D297">IF(B297="","",IFERROR(INDEX(KeywordGroupRange,MATCH(TRUE,ISNUMBER(SEARCH(KeywordRange,B297&amp;" "&amp;C297)),0)),""))</f>
        <v/>
      </c>
      <c r="E297">
        <f>IF(B297="","",D297)</f>
        <v/>
      </c>
      <c r="F297" s="8" t="n"/>
      <c r="G297" s="8" t="n"/>
      <c r="H297" s="8" t="n"/>
      <c r="I297" s="8" t="n"/>
    </row>
    <row r="298">
      <c r="D298">
        <f t="array" ref="D298">IF(B298="","",IFERROR(INDEX(KeywordGroupRange,MATCH(TRUE,ISNUMBER(SEARCH(KeywordRange,B298&amp;" "&amp;C298)),0)),""))</f>
        <v/>
      </c>
      <c r="E298">
        <f>IF(B298="","",D298)</f>
        <v/>
      </c>
      <c r="F298" s="8" t="n"/>
      <c r="G298" s="8" t="n"/>
      <c r="H298" s="8" t="n"/>
      <c r="I298" s="8" t="n"/>
    </row>
    <row r="299">
      <c r="D299">
        <f t="array" ref="D299">IF(B299="","",IFERROR(INDEX(KeywordGroupRange,MATCH(TRUE,ISNUMBER(SEARCH(KeywordRange,B299&amp;" "&amp;C299)),0)),""))</f>
        <v/>
      </c>
      <c r="E299">
        <f>IF(B299="","",D299)</f>
        <v/>
      </c>
      <c r="F299" s="8" t="n"/>
      <c r="G299" s="8" t="n"/>
      <c r="H299" s="8" t="n"/>
      <c r="I299" s="8" t="n"/>
    </row>
    <row r="300">
      <c r="D300">
        <f t="array" ref="D300">IF(B300="","",IFERROR(INDEX(KeywordGroupRange,MATCH(TRUE,ISNUMBER(SEARCH(KeywordRange,B300&amp;" "&amp;C300)),0)),""))</f>
        <v/>
      </c>
      <c r="E300">
        <f>IF(B300="","",D300)</f>
        <v/>
      </c>
      <c r="F300" s="8" t="n"/>
      <c r="G300" s="8" t="n"/>
      <c r="H300" s="8" t="n"/>
      <c r="I300" s="8" t="n"/>
    </row>
    <row r="301">
      <c r="D301">
        <f t="array" ref="D301">IF(B301="","",IFERROR(INDEX(KeywordGroupRange,MATCH(TRUE,ISNUMBER(SEARCH(KeywordRange,B301&amp;" "&amp;C301)),0)),""))</f>
        <v/>
      </c>
      <c r="E301">
        <f>IF(B301="","",D301)</f>
        <v/>
      </c>
      <c r="F301" s="8" t="n"/>
      <c r="G301" s="8" t="n"/>
      <c r="H301" s="8" t="n"/>
      <c r="I301" s="8" t="n"/>
    </row>
    <row r="302">
      <c r="D302">
        <f t="array" ref="D302">IF(B302="","",IFERROR(INDEX(KeywordGroupRange,MATCH(TRUE,ISNUMBER(SEARCH(KeywordRange,B302&amp;" "&amp;C302)),0)),""))</f>
        <v/>
      </c>
      <c r="E302">
        <f>IF(B302="","",D302)</f>
        <v/>
      </c>
      <c r="F302" s="8" t="n"/>
      <c r="G302" s="8" t="n"/>
      <c r="H302" s="8" t="n"/>
      <c r="I302" s="8" t="n"/>
    </row>
    <row r="303">
      <c r="D303">
        <f t="array" ref="D303">IF(B303="","",IFERROR(INDEX(KeywordGroupRange,MATCH(TRUE,ISNUMBER(SEARCH(KeywordRange,B303&amp;" "&amp;C303)),0)),""))</f>
        <v/>
      </c>
      <c r="E303">
        <f>IF(B303="","",D303)</f>
        <v/>
      </c>
      <c r="F303" s="8" t="n"/>
      <c r="G303" s="8" t="n"/>
      <c r="H303" s="8" t="n"/>
      <c r="I303" s="8" t="n"/>
    </row>
    <row r="304">
      <c r="D304">
        <f t="array" ref="D304">IF(B304="","",IFERROR(INDEX(KeywordGroupRange,MATCH(TRUE,ISNUMBER(SEARCH(KeywordRange,B304&amp;" "&amp;C304)),0)),""))</f>
        <v/>
      </c>
      <c r="E304">
        <f>IF(B304="","",D304)</f>
        <v/>
      </c>
      <c r="F304" s="8" t="n"/>
      <c r="G304" s="8" t="n"/>
      <c r="H304" s="8" t="n"/>
      <c r="I304" s="8" t="n"/>
    </row>
    <row r="305">
      <c r="D305">
        <f t="array" ref="D305">IF(B305="","",IFERROR(INDEX(KeywordGroupRange,MATCH(TRUE,ISNUMBER(SEARCH(KeywordRange,B305&amp;" "&amp;C305)),0)),""))</f>
        <v/>
      </c>
      <c r="E305">
        <f>IF(B305="","",D305)</f>
        <v/>
      </c>
      <c r="F305" s="8" t="n"/>
      <c r="G305" s="8" t="n"/>
      <c r="H305" s="8" t="n"/>
      <c r="I305" s="8" t="n"/>
    </row>
    <row r="306">
      <c r="D306">
        <f t="array" ref="D306">IF(B306="","",IFERROR(INDEX(KeywordGroupRange,MATCH(TRUE,ISNUMBER(SEARCH(KeywordRange,B306&amp;" "&amp;C306)),0)),""))</f>
        <v/>
      </c>
      <c r="E306">
        <f>IF(B306="","",D306)</f>
        <v/>
      </c>
      <c r="F306" s="8" t="n"/>
      <c r="G306" s="8" t="n"/>
      <c r="H306" s="8" t="n"/>
      <c r="I306" s="8" t="n"/>
    </row>
    <row r="307">
      <c r="D307">
        <f t="array" ref="D307">IF(B307="","",IFERROR(INDEX(KeywordGroupRange,MATCH(TRUE,ISNUMBER(SEARCH(KeywordRange,B307&amp;" "&amp;C307)),0)),""))</f>
        <v/>
      </c>
      <c r="E307">
        <f>IF(B307="","",D307)</f>
        <v/>
      </c>
      <c r="F307" s="8" t="n"/>
      <c r="G307" s="8" t="n"/>
      <c r="H307" s="8" t="n"/>
      <c r="I307" s="8" t="n"/>
    </row>
    <row r="308">
      <c r="D308">
        <f t="array" ref="D308">IF(B308="","",IFERROR(INDEX(KeywordGroupRange,MATCH(TRUE,ISNUMBER(SEARCH(KeywordRange,B308&amp;" "&amp;C308)),0)),""))</f>
        <v/>
      </c>
      <c r="E308">
        <f>IF(B308="","",D308)</f>
        <v/>
      </c>
      <c r="F308" s="8" t="n"/>
      <c r="G308" s="8" t="n"/>
      <c r="H308" s="8" t="n"/>
      <c r="I308" s="8" t="n"/>
    </row>
    <row r="309">
      <c r="D309">
        <f t="array" ref="D309">IF(B309="","",IFERROR(INDEX(KeywordGroupRange,MATCH(TRUE,ISNUMBER(SEARCH(KeywordRange,B309&amp;" "&amp;C309)),0)),""))</f>
        <v/>
      </c>
      <c r="E309">
        <f>IF(B309="","",D309)</f>
        <v/>
      </c>
      <c r="F309" s="8" t="n"/>
      <c r="G309" s="8" t="n"/>
      <c r="H309" s="8" t="n"/>
      <c r="I309" s="8" t="n"/>
    </row>
    <row r="310">
      <c r="D310">
        <f t="array" ref="D310">IF(B310="","",IFERROR(INDEX(KeywordGroupRange,MATCH(TRUE,ISNUMBER(SEARCH(KeywordRange,B310&amp;" "&amp;C310)),0)),""))</f>
        <v/>
      </c>
      <c r="E310">
        <f>IF(B310="","",D310)</f>
        <v/>
      </c>
      <c r="F310" s="8" t="n"/>
      <c r="G310" s="8" t="n"/>
      <c r="H310" s="8" t="n"/>
      <c r="I310" s="8" t="n"/>
    </row>
    <row r="311">
      <c r="D311">
        <f t="array" ref="D311">IF(B311="","",IFERROR(INDEX(KeywordGroupRange,MATCH(TRUE,ISNUMBER(SEARCH(KeywordRange,B311&amp;" "&amp;C311)),0)),""))</f>
        <v/>
      </c>
      <c r="E311">
        <f>IF(B311="","",D311)</f>
        <v/>
      </c>
      <c r="F311" s="8" t="n"/>
      <c r="G311" s="8" t="n"/>
      <c r="H311" s="8" t="n"/>
      <c r="I311" s="8" t="n"/>
    </row>
    <row r="312">
      <c r="D312">
        <f t="array" ref="D312">IF(B312="","",IFERROR(INDEX(KeywordGroupRange,MATCH(TRUE,ISNUMBER(SEARCH(KeywordRange,B312&amp;" "&amp;C312)),0)),""))</f>
        <v/>
      </c>
      <c r="E312">
        <f>IF(B312="","",D312)</f>
        <v/>
      </c>
      <c r="F312" s="8" t="n"/>
      <c r="G312" s="8" t="n"/>
      <c r="H312" s="8" t="n"/>
      <c r="I312" s="8" t="n"/>
    </row>
    <row r="313">
      <c r="D313">
        <f t="array" ref="D313">IF(B313="","",IFERROR(INDEX(KeywordGroupRange,MATCH(TRUE,ISNUMBER(SEARCH(KeywordRange,B313&amp;" "&amp;C313)),0)),""))</f>
        <v/>
      </c>
      <c r="E313">
        <f>IF(B313="","",D313)</f>
        <v/>
      </c>
      <c r="F313" s="8" t="n"/>
      <c r="G313" s="8" t="n"/>
      <c r="H313" s="8" t="n"/>
      <c r="I313" s="8" t="n"/>
    </row>
    <row r="314">
      <c r="D314">
        <f t="array" ref="D314">IF(B314="","",IFERROR(INDEX(KeywordGroupRange,MATCH(TRUE,ISNUMBER(SEARCH(KeywordRange,B314&amp;" "&amp;C314)),0)),""))</f>
        <v/>
      </c>
      <c r="E314">
        <f>IF(B314="","",D314)</f>
        <v/>
      </c>
      <c r="F314" s="8" t="n"/>
      <c r="G314" s="8" t="n"/>
      <c r="H314" s="8" t="n"/>
      <c r="I314" s="8" t="n"/>
    </row>
    <row r="315">
      <c r="D315">
        <f t="array" ref="D315">IF(B315="","",IFERROR(INDEX(KeywordGroupRange,MATCH(TRUE,ISNUMBER(SEARCH(KeywordRange,B315&amp;" "&amp;C315)),0)),""))</f>
        <v/>
      </c>
      <c r="E315">
        <f>IF(B315="","",D315)</f>
        <v/>
      </c>
      <c r="F315" s="8" t="n"/>
      <c r="G315" s="8" t="n"/>
      <c r="H315" s="8" t="n"/>
      <c r="I315" s="8" t="n"/>
    </row>
    <row r="316">
      <c r="D316">
        <f t="array" ref="D316">IF(B316="","",IFERROR(INDEX(KeywordGroupRange,MATCH(TRUE,ISNUMBER(SEARCH(KeywordRange,B316&amp;" "&amp;C316)),0)),""))</f>
        <v/>
      </c>
      <c r="E316">
        <f>IF(B316="","",D316)</f>
        <v/>
      </c>
      <c r="F316" s="8" t="n"/>
      <c r="G316" s="8" t="n"/>
      <c r="H316" s="8" t="n"/>
      <c r="I316" s="8" t="n"/>
    </row>
    <row r="317">
      <c r="D317">
        <f t="array" ref="D317">IF(B317="","",IFERROR(INDEX(KeywordGroupRange,MATCH(TRUE,ISNUMBER(SEARCH(KeywordRange,B317&amp;" "&amp;C317)),0)),""))</f>
        <v/>
      </c>
      <c r="E317">
        <f>IF(B317="","",D317)</f>
        <v/>
      </c>
      <c r="F317" s="8" t="n"/>
      <c r="G317" s="8" t="n"/>
      <c r="H317" s="8" t="n"/>
      <c r="I317" s="8" t="n"/>
    </row>
    <row r="318">
      <c r="D318">
        <f t="array" ref="D318">IF(B318="","",IFERROR(INDEX(KeywordGroupRange,MATCH(TRUE,ISNUMBER(SEARCH(KeywordRange,B318&amp;" "&amp;C318)),0)),""))</f>
        <v/>
      </c>
      <c r="E318">
        <f>IF(B318="","",D318)</f>
        <v/>
      </c>
      <c r="F318" s="8" t="n"/>
      <c r="G318" s="8" t="n"/>
      <c r="H318" s="8" t="n"/>
      <c r="I318" s="8" t="n"/>
    </row>
    <row r="319">
      <c r="D319">
        <f t="array" ref="D319">IF(B319="","",IFERROR(INDEX(KeywordGroupRange,MATCH(TRUE,ISNUMBER(SEARCH(KeywordRange,B319&amp;" "&amp;C319)),0)),""))</f>
        <v/>
      </c>
      <c r="E319">
        <f>IF(B319="","",D319)</f>
        <v/>
      </c>
      <c r="F319" s="8" t="n"/>
      <c r="G319" s="8" t="n"/>
      <c r="H319" s="8" t="n"/>
      <c r="I319" s="8" t="n"/>
    </row>
    <row r="320">
      <c r="D320">
        <f t="array" ref="D320">IF(B320="","",IFERROR(INDEX(KeywordGroupRange,MATCH(TRUE,ISNUMBER(SEARCH(KeywordRange,B320&amp;" "&amp;C320)),0)),""))</f>
        <v/>
      </c>
      <c r="E320">
        <f>IF(B320="","",D320)</f>
        <v/>
      </c>
      <c r="F320" s="8" t="n"/>
      <c r="G320" s="8" t="n"/>
      <c r="H320" s="8" t="n"/>
      <c r="I320" s="8" t="n"/>
    </row>
    <row r="321">
      <c r="D321">
        <f t="array" ref="D321">IF(B321="","",IFERROR(INDEX(KeywordGroupRange,MATCH(TRUE,ISNUMBER(SEARCH(KeywordRange,B321&amp;" "&amp;C321)),0)),""))</f>
        <v/>
      </c>
      <c r="E321">
        <f>IF(B321="","",D321)</f>
        <v/>
      </c>
      <c r="F321" s="8" t="n"/>
      <c r="G321" s="8" t="n"/>
      <c r="H321" s="8" t="n"/>
      <c r="I321" s="8" t="n"/>
    </row>
    <row r="322">
      <c r="D322">
        <f t="array" ref="D322">IF(B322="","",IFERROR(INDEX(KeywordGroupRange,MATCH(TRUE,ISNUMBER(SEARCH(KeywordRange,B322&amp;" "&amp;C322)),0)),""))</f>
        <v/>
      </c>
      <c r="E322">
        <f>IF(B322="","",D322)</f>
        <v/>
      </c>
      <c r="F322" s="8" t="n"/>
      <c r="G322" s="8" t="n"/>
      <c r="H322" s="8" t="n"/>
      <c r="I322" s="8" t="n"/>
    </row>
    <row r="323">
      <c r="D323">
        <f t="array" ref="D323">IF(B323="","",IFERROR(INDEX(KeywordGroupRange,MATCH(TRUE,ISNUMBER(SEARCH(KeywordRange,B323&amp;" "&amp;C323)),0)),""))</f>
        <v/>
      </c>
      <c r="E323">
        <f>IF(B323="","",D323)</f>
        <v/>
      </c>
      <c r="F323" s="8" t="n"/>
      <c r="G323" s="8" t="n"/>
      <c r="H323" s="8" t="n"/>
      <c r="I323" s="8" t="n"/>
    </row>
    <row r="324">
      <c r="D324">
        <f t="array" ref="D324">IF(B324="","",IFERROR(INDEX(KeywordGroupRange,MATCH(TRUE,ISNUMBER(SEARCH(KeywordRange,B324&amp;" "&amp;C324)),0)),""))</f>
        <v/>
      </c>
      <c r="E324">
        <f>IF(B324="","",D324)</f>
        <v/>
      </c>
      <c r="F324" s="8" t="n"/>
      <c r="G324" s="8" t="n"/>
      <c r="H324" s="8" t="n"/>
      <c r="I324" s="8" t="n"/>
    </row>
    <row r="325">
      <c r="D325">
        <f t="array" ref="D325">IF(B325="","",IFERROR(INDEX(KeywordGroupRange,MATCH(TRUE,ISNUMBER(SEARCH(KeywordRange,B325&amp;" "&amp;C325)),0)),""))</f>
        <v/>
      </c>
      <c r="E325">
        <f>IF(B325="","",D325)</f>
        <v/>
      </c>
      <c r="F325" s="8" t="n"/>
      <c r="G325" s="8" t="n"/>
      <c r="H325" s="8" t="n"/>
      <c r="I325" s="8" t="n"/>
    </row>
    <row r="326">
      <c r="D326">
        <f t="array" ref="D326">IF(B326="","",IFERROR(INDEX(KeywordGroupRange,MATCH(TRUE,ISNUMBER(SEARCH(KeywordRange,B326&amp;" "&amp;C326)),0)),""))</f>
        <v/>
      </c>
      <c r="E326">
        <f>IF(B326="","",D326)</f>
        <v/>
      </c>
      <c r="F326" s="8" t="n"/>
      <c r="G326" s="8" t="n"/>
      <c r="H326" s="8" t="n"/>
      <c r="I326" s="8" t="n"/>
    </row>
    <row r="327">
      <c r="D327">
        <f t="array" ref="D327">IF(B327="","",IFERROR(INDEX(KeywordGroupRange,MATCH(TRUE,ISNUMBER(SEARCH(KeywordRange,B327&amp;" "&amp;C327)),0)),""))</f>
        <v/>
      </c>
      <c r="E327">
        <f>IF(B327="","",D327)</f>
        <v/>
      </c>
      <c r="F327" s="8" t="n"/>
      <c r="G327" s="8" t="n"/>
      <c r="H327" s="8" t="n"/>
      <c r="I327" s="8" t="n"/>
    </row>
    <row r="328">
      <c r="D328">
        <f t="array" ref="D328">IF(B328="","",IFERROR(INDEX(KeywordGroupRange,MATCH(TRUE,ISNUMBER(SEARCH(KeywordRange,B328&amp;" "&amp;C328)),0)),""))</f>
        <v/>
      </c>
      <c r="E328">
        <f>IF(B328="","",D328)</f>
        <v/>
      </c>
      <c r="F328" s="8" t="n"/>
      <c r="G328" s="8" t="n"/>
      <c r="H328" s="8" t="n"/>
      <c r="I328" s="8" t="n"/>
    </row>
    <row r="329">
      <c r="D329">
        <f t="array" ref="D329">IF(B329="","",IFERROR(INDEX(KeywordGroupRange,MATCH(TRUE,ISNUMBER(SEARCH(KeywordRange,B329&amp;" "&amp;C329)),0)),""))</f>
        <v/>
      </c>
      <c r="E329">
        <f>IF(B329="","",D329)</f>
        <v/>
      </c>
      <c r="F329" s="8" t="n"/>
      <c r="G329" s="8" t="n"/>
      <c r="H329" s="8" t="n"/>
      <c r="I329" s="8" t="n"/>
    </row>
    <row r="330">
      <c r="D330">
        <f t="array" ref="D330">IF(B330="","",IFERROR(INDEX(KeywordGroupRange,MATCH(TRUE,ISNUMBER(SEARCH(KeywordRange,B330&amp;" "&amp;C330)),0)),""))</f>
        <v/>
      </c>
      <c r="E330">
        <f>IF(B330="","",D330)</f>
        <v/>
      </c>
      <c r="F330" s="8" t="n"/>
      <c r="G330" s="8" t="n"/>
      <c r="H330" s="8" t="n"/>
      <c r="I330" s="8" t="n"/>
    </row>
    <row r="331">
      <c r="D331">
        <f t="array" ref="D331">IF(B331="","",IFERROR(INDEX(KeywordGroupRange,MATCH(TRUE,ISNUMBER(SEARCH(KeywordRange,B331&amp;" "&amp;C331)),0)),""))</f>
        <v/>
      </c>
      <c r="E331">
        <f>IF(B331="","",D331)</f>
        <v/>
      </c>
      <c r="F331" s="8" t="n"/>
      <c r="G331" s="8" t="n"/>
      <c r="H331" s="8" t="n"/>
      <c r="I331" s="8" t="n"/>
    </row>
    <row r="332">
      <c r="D332">
        <f t="array" ref="D332">IF(B332="","",IFERROR(INDEX(KeywordGroupRange,MATCH(TRUE,ISNUMBER(SEARCH(KeywordRange,B332&amp;" "&amp;C332)),0)),""))</f>
        <v/>
      </c>
      <c r="E332">
        <f>IF(B332="","",D332)</f>
        <v/>
      </c>
      <c r="F332" s="8" t="n"/>
      <c r="G332" s="8" t="n"/>
      <c r="H332" s="8" t="n"/>
      <c r="I332" s="8" t="n"/>
    </row>
    <row r="333">
      <c r="D333">
        <f t="array" ref="D333">IF(B333="","",IFERROR(INDEX(KeywordGroupRange,MATCH(TRUE,ISNUMBER(SEARCH(KeywordRange,B333&amp;" "&amp;C333)),0)),""))</f>
        <v/>
      </c>
      <c r="E333">
        <f>IF(B333="","",D333)</f>
        <v/>
      </c>
      <c r="F333" s="8" t="n"/>
      <c r="G333" s="8" t="n"/>
      <c r="H333" s="8" t="n"/>
      <c r="I333" s="8" t="n"/>
    </row>
    <row r="334">
      <c r="D334">
        <f t="array" ref="D334">IF(B334="","",IFERROR(INDEX(KeywordGroupRange,MATCH(TRUE,ISNUMBER(SEARCH(KeywordRange,B334&amp;" "&amp;C334)),0)),""))</f>
        <v/>
      </c>
      <c r="E334">
        <f>IF(B334="","",D334)</f>
        <v/>
      </c>
      <c r="F334" s="8" t="n"/>
      <c r="G334" s="8" t="n"/>
      <c r="H334" s="8" t="n"/>
      <c r="I334" s="8" t="n"/>
    </row>
    <row r="335">
      <c r="D335">
        <f t="array" ref="D335">IF(B335="","",IFERROR(INDEX(KeywordGroupRange,MATCH(TRUE,ISNUMBER(SEARCH(KeywordRange,B335&amp;" "&amp;C335)),0)),""))</f>
        <v/>
      </c>
      <c r="E335">
        <f>IF(B335="","",D335)</f>
        <v/>
      </c>
      <c r="F335" s="8" t="n"/>
      <c r="G335" s="8" t="n"/>
      <c r="H335" s="8" t="n"/>
      <c r="I335" s="8" t="n"/>
    </row>
    <row r="336">
      <c r="D336">
        <f t="array" ref="D336">IF(B336="","",IFERROR(INDEX(KeywordGroupRange,MATCH(TRUE,ISNUMBER(SEARCH(KeywordRange,B336&amp;" "&amp;C336)),0)),""))</f>
        <v/>
      </c>
      <c r="E336">
        <f>IF(B336="","",D336)</f>
        <v/>
      </c>
      <c r="F336" s="8" t="n"/>
      <c r="G336" s="8" t="n"/>
      <c r="H336" s="8" t="n"/>
      <c r="I336" s="8" t="n"/>
    </row>
    <row r="337">
      <c r="D337">
        <f t="array" ref="D337">IF(B337="","",IFERROR(INDEX(KeywordGroupRange,MATCH(TRUE,ISNUMBER(SEARCH(KeywordRange,B337&amp;" "&amp;C337)),0)),""))</f>
        <v/>
      </c>
      <c r="E337">
        <f>IF(B337="","",D337)</f>
        <v/>
      </c>
      <c r="F337" s="8" t="n"/>
      <c r="G337" s="8" t="n"/>
      <c r="H337" s="8" t="n"/>
      <c r="I337" s="8" t="n"/>
    </row>
    <row r="338">
      <c r="D338">
        <f t="array" ref="D338">IF(B338="","",IFERROR(INDEX(KeywordGroupRange,MATCH(TRUE,ISNUMBER(SEARCH(KeywordRange,B338&amp;" "&amp;C338)),0)),""))</f>
        <v/>
      </c>
      <c r="E338">
        <f>IF(B338="","",D338)</f>
        <v/>
      </c>
      <c r="F338" s="8" t="n"/>
      <c r="G338" s="8" t="n"/>
      <c r="H338" s="8" t="n"/>
      <c r="I338" s="8" t="n"/>
    </row>
    <row r="339">
      <c r="D339">
        <f t="array" ref="D339">IF(B339="","",IFERROR(INDEX(KeywordGroupRange,MATCH(TRUE,ISNUMBER(SEARCH(KeywordRange,B339&amp;" "&amp;C339)),0)),""))</f>
        <v/>
      </c>
      <c r="E339">
        <f>IF(B339="","",D339)</f>
        <v/>
      </c>
      <c r="F339" s="8" t="n"/>
      <c r="G339" s="8" t="n"/>
      <c r="H339" s="8" t="n"/>
      <c r="I339" s="8" t="n"/>
    </row>
    <row r="340">
      <c r="D340">
        <f t="array" ref="D340">IF(B340="","",IFERROR(INDEX(KeywordGroupRange,MATCH(TRUE,ISNUMBER(SEARCH(KeywordRange,B340&amp;" "&amp;C340)),0)),""))</f>
        <v/>
      </c>
      <c r="E340">
        <f>IF(B340="","",D340)</f>
        <v/>
      </c>
      <c r="F340" s="8" t="n"/>
      <c r="G340" s="8" t="n"/>
      <c r="H340" s="8" t="n"/>
      <c r="I340" s="8" t="n"/>
    </row>
    <row r="341">
      <c r="D341">
        <f t="array" ref="D341">IF(B341="","",IFERROR(INDEX(KeywordGroupRange,MATCH(TRUE,ISNUMBER(SEARCH(KeywordRange,B341&amp;" "&amp;C341)),0)),""))</f>
        <v/>
      </c>
      <c r="E341">
        <f>IF(B341="","",D341)</f>
        <v/>
      </c>
      <c r="F341" s="8" t="n"/>
      <c r="G341" s="8" t="n"/>
      <c r="H341" s="8" t="n"/>
      <c r="I341" s="8" t="n"/>
    </row>
    <row r="342">
      <c r="D342">
        <f t="array" ref="D342">IF(B342="","",IFERROR(INDEX(KeywordGroupRange,MATCH(TRUE,ISNUMBER(SEARCH(KeywordRange,B342&amp;" "&amp;C342)),0)),""))</f>
        <v/>
      </c>
      <c r="E342">
        <f>IF(B342="","",D342)</f>
        <v/>
      </c>
      <c r="F342" s="8" t="n"/>
      <c r="G342" s="8" t="n"/>
      <c r="H342" s="8" t="n"/>
      <c r="I342" s="8" t="n"/>
    </row>
    <row r="343">
      <c r="D343">
        <f t="array" ref="D343">IF(B343="","",IFERROR(INDEX(KeywordGroupRange,MATCH(TRUE,ISNUMBER(SEARCH(KeywordRange,B343&amp;" "&amp;C343)),0)),""))</f>
        <v/>
      </c>
      <c r="E343">
        <f>IF(B343="","",D343)</f>
        <v/>
      </c>
      <c r="F343" s="8" t="n"/>
      <c r="G343" s="8" t="n"/>
      <c r="H343" s="8" t="n"/>
      <c r="I343" s="8" t="n"/>
    </row>
    <row r="344">
      <c r="D344">
        <f t="array" ref="D344">IF(B344="","",IFERROR(INDEX(KeywordGroupRange,MATCH(TRUE,ISNUMBER(SEARCH(KeywordRange,B344&amp;" "&amp;C344)),0)),""))</f>
        <v/>
      </c>
      <c r="E344">
        <f>IF(B344="","",D344)</f>
        <v/>
      </c>
      <c r="F344" s="8" t="n"/>
      <c r="G344" s="8" t="n"/>
      <c r="H344" s="8" t="n"/>
      <c r="I344" s="8" t="n"/>
    </row>
    <row r="345">
      <c r="D345">
        <f t="array" ref="D345">IF(B345="","",IFERROR(INDEX(KeywordGroupRange,MATCH(TRUE,ISNUMBER(SEARCH(KeywordRange,B345&amp;" "&amp;C345)),0)),""))</f>
        <v/>
      </c>
      <c r="E345">
        <f>IF(B345="","",D345)</f>
        <v/>
      </c>
      <c r="F345" s="8" t="n"/>
      <c r="G345" s="8" t="n"/>
      <c r="H345" s="8" t="n"/>
      <c r="I345" s="8" t="n"/>
    </row>
    <row r="346">
      <c r="D346">
        <f t="array" ref="D346">IF(B346="","",IFERROR(INDEX(KeywordGroupRange,MATCH(TRUE,ISNUMBER(SEARCH(KeywordRange,B346&amp;" "&amp;C346)),0)),""))</f>
        <v/>
      </c>
      <c r="E346">
        <f>IF(B346="","",D346)</f>
        <v/>
      </c>
      <c r="F346" s="8" t="n"/>
      <c r="G346" s="8" t="n"/>
      <c r="H346" s="8" t="n"/>
      <c r="I346" s="8" t="n"/>
    </row>
    <row r="347">
      <c r="D347">
        <f t="array" ref="D347">IF(B347="","",IFERROR(INDEX(KeywordGroupRange,MATCH(TRUE,ISNUMBER(SEARCH(KeywordRange,B347&amp;" "&amp;C347)),0)),""))</f>
        <v/>
      </c>
      <c r="E347">
        <f>IF(B347="","",D347)</f>
        <v/>
      </c>
      <c r="F347" s="8" t="n"/>
      <c r="G347" s="8" t="n"/>
      <c r="H347" s="8" t="n"/>
      <c r="I347" s="8" t="n"/>
    </row>
    <row r="348">
      <c r="D348">
        <f t="array" ref="D348">IF(B348="","",IFERROR(INDEX(KeywordGroupRange,MATCH(TRUE,ISNUMBER(SEARCH(KeywordRange,B348&amp;" "&amp;C348)),0)),""))</f>
        <v/>
      </c>
      <c r="E348">
        <f>IF(B348="","",D348)</f>
        <v/>
      </c>
      <c r="F348" s="8" t="n"/>
      <c r="G348" s="8" t="n"/>
      <c r="H348" s="8" t="n"/>
      <c r="I348" s="8" t="n"/>
    </row>
    <row r="349">
      <c r="D349">
        <f t="array" ref="D349">IF(B349="","",IFERROR(INDEX(KeywordGroupRange,MATCH(TRUE,ISNUMBER(SEARCH(KeywordRange,B349&amp;" "&amp;C349)),0)),""))</f>
        <v/>
      </c>
      <c r="E349">
        <f>IF(B349="","",D349)</f>
        <v/>
      </c>
      <c r="F349" s="8" t="n"/>
      <c r="G349" s="8" t="n"/>
      <c r="H349" s="8" t="n"/>
      <c r="I349" s="8" t="n"/>
    </row>
    <row r="350">
      <c r="D350">
        <f t="array" ref="D350">IF(B350="","",IFERROR(INDEX(KeywordGroupRange,MATCH(TRUE,ISNUMBER(SEARCH(KeywordRange,B350&amp;" "&amp;C350)),0)),""))</f>
        <v/>
      </c>
      <c r="E350">
        <f>IF(B350="","",D350)</f>
        <v/>
      </c>
      <c r="F350" s="8" t="n"/>
      <c r="G350" s="8" t="n"/>
      <c r="H350" s="8" t="n"/>
      <c r="I350" s="8" t="n"/>
    </row>
    <row r="351">
      <c r="D351">
        <f t="array" ref="D351">IF(B351="","",IFERROR(INDEX(KeywordGroupRange,MATCH(TRUE,ISNUMBER(SEARCH(KeywordRange,B351&amp;" "&amp;C351)),0)),""))</f>
        <v/>
      </c>
      <c r="E351">
        <f>IF(B351="","",D351)</f>
        <v/>
      </c>
      <c r="F351" s="8" t="n"/>
      <c r="G351" s="8" t="n"/>
      <c r="H351" s="8" t="n"/>
      <c r="I351" s="8" t="n"/>
    </row>
    <row r="352">
      <c r="D352">
        <f t="array" ref="D352">IF(B352="","",IFERROR(INDEX(KeywordGroupRange,MATCH(TRUE,ISNUMBER(SEARCH(KeywordRange,B352&amp;" "&amp;C352)),0)),""))</f>
        <v/>
      </c>
      <c r="E352">
        <f>IF(B352="","",D352)</f>
        <v/>
      </c>
      <c r="F352" s="8" t="n"/>
      <c r="G352" s="8" t="n"/>
      <c r="H352" s="8" t="n"/>
      <c r="I352" s="8" t="n"/>
    </row>
    <row r="353">
      <c r="D353">
        <f t="array" ref="D353">IF(B353="","",IFERROR(INDEX(KeywordGroupRange,MATCH(TRUE,ISNUMBER(SEARCH(KeywordRange,B353&amp;" "&amp;C353)),0)),""))</f>
        <v/>
      </c>
      <c r="E353">
        <f>IF(B353="","",D353)</f>
        <v/>
      </c>
      <c r="F353" s="8" t="n"/>
      <c r="G353" s="8" t="n"/>
      <c r="H353" s="8" t="n"/>
      <c r="I353" s="8" t="n"/>
    </row>
    <row r="354">
      <c r="D354">
        <f t="array" ref="D354">IF(B354="","",IFERROR(INDEX(KeywordGroupRange,MATCH(TRUE,ISNUMBER(SEARCH(KeywordRange,B354&amp;" "&amp;C354)),0)),""))</f>
        <v/>
      </c>
      <c r="E354">
        <f>IF(B354="","",D354)</f>
        <v/>
      </c>
      <c r="F354" s="8" t="n"/>
      <c r="G354" s="8" t="n"/>
      <c r="H354" s="8" t="n"/>
      <c r="I354" s="8" t="n"/>
    </row>
    <row r="355">
      <c r="D355">
        <f t="array" ref="D355">IF(B355="","",IFERROR(INDEX(KeywordGroupRange,MATCH(TRUE,ISNUMBER(SEARCH(KeywordRange,B355&amp;" "&amp;C355)),0)),""))</f>
        <v/>
      </c>
      <c r="E355">
        <f>IF(B355="","",D355)</f>
        <v/>
      </c>
      <c r="F355" s="8" t="n"/>
      <c r="G355" s="8" t="n"/>
      <c r="H355" s="8" t="n"/>
      <c r="I355" s="8" t="n"/>
    </row>
    <row r="356">
      <c r="D356">
        <f t="array" ref="D356">IF(B356="","",IFERROR(INDEX(KeywordGroupRange,MATCH(TRUE,ISNUMBER(SEARCH(KeywordRange,B356&amp;" "&amp;C356)),0)),""))</f>
        <v/>
      </c>
      <c r="E356">
        <f>IF(B356="","",D356)</f>
        <v/>
      </c>
      <c r="F356" s="8" t="n"/>
      <c r="G356" s="8" t="n"/>
      <c r="H356" s="8" t="n"/>
      <c r="I356" s="8" t="n"/>
    </row>
    <row r="357">
      <c r="D357">
        <f t="array" ref="D357">IF(B357="","",IFERROR(INDEX(KeywordGroupRange,MATCH(TRUE,ISNUMBER(SEARCH(KeywordRange,B357&amp;" "&amp;C357)),0)),""))</f>
        <v/>
      </c>
      <c r="E357">
        <f>IF(B357="","",D357)</f>
        <v/>
      </c>
      <c r="F357" s="8" t="n"/>
      <c r="G357" s="8" t="n"/>
      <c r="H357" s="8" t="n"/>
      <c r="I357" s="8" t="n"/>
    </row>
    <row r="358">
      <c r="D358">
        <f t="array" ref="D358">IF(B358="","",IFERROR(INDEX(KeywordGroupRange,MATCH(TRUE,ISNUMBER(SEARCH(KeywordRange,B358&amp;" "&amp;C358)),0)),""))</f>
        <v/>
      </c>
      <c r="E358">
        <f>IF(B358="","",D358)</f>
        <v/>
      </c>
      <c r="F358" s="8" t="n"/>
      <c r="G358" s="8" t="n"/>
      <c r="H358" s="8" t="n"/>
      <c r="I358" s="8" t="n"/>
    </row>
    <row r="359">
      <c r="D359">
        <f t="array" ref="D359">IF(B359="","",IFERROR(INDEX(KeywordGroupRange,MATCH(TRUE,ISNUMBER(SEARCH(KeywordRange,B359&amp;" "&amp;C359)),0)),""))</f>
        <v/>
      </c>
      <c r="E359">
        <f>IF(B359="","",D359)</f>
        <v/>
      </c>
      <c r="F359" s="8" t="n"/>
      <c r="G359" s="8" t="n"/>
      <c r="H359" s="8" t="n"/>
      <c r="I359" s="8" t="n"/>
    </row>
    <row r="360">
      <c r="D360">
        <f t="array" ref="D360">IF(B360="","",IFERROR(INDEX(KeywordGroupRange,MATCH(TRUE,ISNUMBER(SEARCH(KeywordRange,B360&amp;" "&amp;C360)),0)),""))</f>
        <v/>
      </c>
      <c r="E360">
        <f>IF(B360="","",D360)</f>
        <v/>
      </c>
      <c r="F360" s="8" t="n"/>
      <c r="G360" s="8" t="n"/>
      <c r="H360" s="8" t="n"/>
      <c r="I360" s="8" t="n"/>
    </row>
    <row r="361">
      <c r="D361">
        <f t="array" ref="D361">IF(B361="","",IFERROR(INDEX(KeywordGroupRange,MATCH(TRUE,ISNUMBER(SEARCH(KeywordRange,B361&amp;" "&amp;C361)),0)),""))</f>
        <v/>
      </c>
      <c r="E361">
        <f>IF(B361="","",D361)</f>
        <v/>
      </c>
      <c r="F361" s="8" t="n"/>
      <c r="G361" s="8" t="n"/>
      <c r="H361" s="8" t="n"/>
      <c r="I361" s="8" t="n"/>
    </row>
    <row r="362">
      <c r="D362">
        <f t="array" ref="D362">IF(B362="","",IFERROR(INDEX(KeywordGroupRange,MATCH(TRUE,ISNUMBER(SEARCH(KeywordRange,B362&amp;" "&amp;C362)),0)),""))</f>
        <v/>
      </c>
      <c r="E362">
        <f>IF(B362="","",D362)</f>
        <v/>
      </c>
      <c r="F362" s="8" t="n"/>
      <c r="G362" s="8" t="n"/>
      <c r="H362" s="8" t="n"/>
      <c r="I362" s="8" t="n"/>
    </row>
    <row r="363">
      <c r="D363">
        <f t="array" ref="D363">IF(B363="","",IFERROR(INDEX(KeywordGroupRange,MATCH(TRUE,ISNUMBER(SEARCH(KeywordRange,B363&amp;" "&amp;C363)),0)),""))</f>
        <v/>
      </c>
      <c r="E363">
        <f>IF(B363="","",D363)</f>
        <v/>
      </c>
      <c r="F363" s="8" t="n"/>
      <c r="G363" s="8" t="n"/>
      <c r="H363" s="8" t="n"/>
      <c r="I363" s="8" t="n"/>
    </row>
    <row r="364">
      <c r="D364">
        <f t="array" ref="D364">IF(B364="","",IFERROR(INDEX(KeywordGroupRange,MATCH(TRUE,ISNUMBER(SEARCH(KeywordRange,B364&amp;" "&amp;C364)),0)),""))</f>
        <v/>
      </c>
      <c r="E364">
        <f>IF(B364="","",D364)</f>
        <v/>
      </c>
      <c r="F364" s="8" t="n"/>
      <c r="G364" s="8" t="n"/>
      <c r="H364" s="8" t="n"/>
      <c r="I364" s="8" t="n"/>
    </row>
    <row r="365">
      <c r="D365">
        <f t="array" ref="D365">IF(B365="","",IFERROR(INDEX(KeywordGroupRange,MATCH(TRUE,ISNUMBER(SEARCH(KeywordRange,B365&amp;" "&amp;C365)),0)),""))</f>
        <v/>
      </c>
      <c r="E365">
        <f>IF(B365="","",D365)</f>
        <v/>
      </c>
      <c r="F365" s="8" t="n"/>
      <c r="G365" s="8" t="n"/>
      <c r="H365" s="8" t="n"/>
      <c r="I365" s="8" t="n"/>
    </row>
    <row r="366">
      <c r="D366">
        <f t="array" ref="D366">IF(B366="","",IFERROR(INDEX(KeywordGroupRange,MATCH(TRUE,ISNUMBER(SEARCH(KeywordRange,B366&amp;" "&amp;C366)),0)),""))</f>
        <v/>
      </c>
      <c r="E366">
        <f>IF(B366="","",D366)</f>
        <v/>
      </c>
      <c r="F366" s="8" t="n"/>
      <c r="G366" s="8" t="n"/>
      <c r="H366" s="8" t="n"/>
      <c r="I366" s="8" t="n"/>
    </row>
    <row r="367">
      <c r="D367">
        <f t="array" ref="D367">IF(B367="","",IFERROR(INDEX(KeywordGroupRange,MATCH(TRUE,ISNUMBER(SEARCH(KeywordRange,B367&amp;" "&amp;C367)),0)),""))</f>
        <v/>
      </c>
      <c r="E367">
        <f>IF(B367="","",D367)</f>
        <v/>
      </c>
      <c r="F367" s="8" t="n"/>
      <c r="G367" s="8" t="n"/>
      <c r="H367" s="8" t="n"/>
      <c r="I367" s="8" t="n"/>
    </row>
    <row r="368">
      <c r="D368">
        <f t="array" ref="D368">IF(B368="","",IFERROR(INDEX(KeywordGroupRange,MATCH(TRUE,ISNUMBER(SEARCH(KeywordRange,B368&amp;" "&amp;C368)),0)),""))</f>
        <v/>
      </c>
      <c r="E368">
        <f>IF(B368="","",D368)</f>
        <v/>
      </c>
      <c r="F368" s="8" t="n"/>
      <c r="G368" s="8" t="n"/>
      <c r="H368" s="8" t="n"/>
      <c r="I368" s="8" t="n"/>
    </row>
    <row r="369">
      <c r="D369">
        <f t="array" ref="D369">IF(B369="","",IFERROR(INDEX(KeywordGroupRange,MATCH(TRUE,ISNUMBER(SEARCH(KeywordRange,B369&amp;" "&amp;C369)),0)),""))</f>
        <v/>
      </c>
      <c r="E369">
        <f>IF(B369="","",D369)</f>
        <v/>
      </c>
      <c r="F369" s="8" t="n"/>
      <c r="G369" s="8" t="n"/>
      <c r="H369" s="8" t="n"/>
      <c r="I369" s="8" t="n"/>
    </row>
    <row r="370">
      <c r="D370">
        <f t="array" ref="D370">IF(B370="","",IFERROR(INDEX(KeywordGroupRange,MATCH(TRUE,ISNUMBER(SEARCH(KeywordRange,B370&amp;" "&amp;C370)),0)),""))</f>
        <v/>
      </c>
      <c r="E370">
        <f>IF(B370="","",D370)</f>
        <v/>
      </c>
      <c r="F370" s="8" t="n"/>
      <c r="G370" s="8" t="n"/>
      <c r="H370" s="8" t="n"/>
      <c r="I370" s="8" t="n"/>
    </row>
    <row r="371">
      <c r="D371">
        <f t="array" ref="D371">IF(B371="","",IFERROR(INDEX(KeywordGroupRange,MATCH(TRUE,ISNUMBER(SEARCH(KeywordRange,B371&amp;" "&amp;C371)),0)),""))</f>
        <v/>
      </c>
      <c r="E371">
        <f>IF(B371="","",D371)</f>
        <v/>
      </c>
      <c r="F371" s="8" t="n"/>
      <c r="G371" s="8" t="n"/>
      <c r="H371" s="8" t="n"/>
      <c r="I371" s="8" t="n"/>
    </row>
    <row r="372">
      <c r="D372">
        <f t="array" ref="D372">IF(B372="","",IFERROR(INDEX(KeywordGroupRange,MATCH(TRUE,ISNUMBER(SEARCH(KeywordRange,B372&amp;" "&amp;C372)),0)),""))</f>
        <v/>
      </c>
      <c r="E372">
        <f>IF(B372="","",D372)</f>
        <v/>
      </c>
      <c r="F372" s="8" t="n"/>
      <c r="G372" s="8" t="n"/>
      <c r="H372" s="8" t="n"/>
      <c r="I372" s="8" t="n"/>
    </row>
    <row r="373">
      <c r="D373">
        <f t="array" ref="D373">IF(B373="","",IFERROR(INDEX(KeywordGroupRange,MATCH(TRUE,ISNUMBER(SEARCH(KeywordRange,B373&amp;" "&amp;C373)),0)),""))</f>
        <v/>
      </c>
      <c r="E373">
        <f>IF(B373="","",D373)</f>
        <v/>
      </c>
      <c r="F373" s="8" t="n"/>
      <c r="G373" s="8" t="n"/>
      <c r="H373" s="8" t="n"/>
      <c r="I373" s="8" t="n"/>
    </row>
    <row r="374">
      <c r="D374">
        <f t="array" ref="D374">IF(B374="","",IFERROR(INDEX(KeywordGroupRange,MATCH(TRUE,ISNUMBER(SEARCH(KeywordRange,B374&amp;" "&amp;C374)),0)),""))</f>
        <v/>
      </c>
      <c r="E374">
        <f>IF(B374="","",D374)</f>
        <v/>
      </c>
      <c r="F374" s="8" t="n"/>
      <c r="G374" s="8" t="n"/>
      <c r="H374" s="8" t="n"/>
      <c r="I374" s="8" t="n"/>
    </row>
    <row r="375">
      <c r="D375">
        <f t="array" ref="D375">IF(B375="","",IFERROR(INDEX(KeywordGroupRange,MATCH(TRUE,ISNUMBER(SEARCH(KeywordRange,B375&amp;" "&amp;C375)),0)),""))</f>
        <v/>
      </c>
      <c r="E375">
        <f>IF(B375="","",D375)</f>
        <v/>
      </c>
      <c r="F375" s="8" t="n"/>
      <c r="G375" s="8" t="n"/>
      <c r="H375" s="8" t="n"/>
      <c r="I375" s="8" t="n"/>
    </row>
    <row r="376">
      <c r="D376">
        <f t="array" ref="D376">IF(B376="","",IFERROR(INDEX(KeywordGroupRange,MATCH(TRUE,ISNUMBER(SEARCH(KeywordRange,B376&amp;" "&amp;C376)),0)),""))</f>
        <v/>
      </c>
      <c r="E376">
        <f>IF(B376="","",D376)</f>
        <v/>
      </c>
      <c r="F376" s="8" t="n"/>
      <c r="G376" s="8" t="n"/>
      <c r="H376" s="8" t="n"/>
      <c r="I376" s="8" t="n"/>
    </row>
    <row r="377">
      <c r="D377">
        <f t="array" ref="D377">IF(B377="","",IFERROR(INDEX(KeywordGroupRange,MATCH(TRUE,ISNUMBER(SEARCH(KeywordRange,B377&amp;" "&amp;C377)),0)),""))</f>
        <v/>
      </c>
      <c r="E377">
        <f>IF(B377="","",D377)</f>
        <v/>
      </c>
      <c r="F377" s="8" t="n"/>
      <c r="G377" s="8" t="n"/>
      <c r="H377" s="8" t="n"/>
      <c r="I377" s="8" t="n"/>
    </row>
    <row r="378">
      <c r="D378">
        <f t="array" ref="D378">IF(B378="","",IFERROR(INDEX(KeywordGroupRange,MATCH(TRUE,ISNUMBER(SEARCH(KeywordRange,B378&amp;" "&amp;C378)),0)),""))</f>
        <v/>
      </c>
      <c r="E378">
        <f>IF(B378="","",D378)</f>
        <v/>
      </c>
      <c r="F378" s="8" t="n"/>
      <c r="G378" s="8" t="n"/>
      <c r="H378" s="8" t="n"/>
      <c r="I378" s="8" t="n"/>
    </row>
    <row r="379">
      <c r="D379">
        <f t="array" ref="D379">IF(B379="","",IFERROR(INDEX(KeywordGroupRange,MATCH(TRUE,ISNUMBER(SEARCH(KeywordRange,B379&amp;" "&amp;C379)),0)),""))</f>
        <v/>
      </c>
      <c r="E379">
        <f>IF(B379="","",D379)</f>
        <v/>
      </c>
      <c r="F379" s="8" t="n"/>
      <c r="G379" s="8" t="n"/>
      <c r="H379" s="8" t="n"/>
      <c r="I379" s="8" t="n"/>
    </row>
    <row r="380">
      <c r="D380">
        <f t="array" ref="D380">IF(B380="","",IFERROR(INDEX(KeywordGroupRange,MATCH(TRUE,ISNUMBER(SEARCH(KeywordRange,B380&amp;" "&amp;C380)),0)),""))</f>
        <v/>
      </c>
      <c r="E380">
        <f>IF(B380="","",D380)</f>
        <v/>
      </c>
      <c r="F380" s="8" t="n"/>
      <c r="G380" s="8" t="n"/>
      <c r="H380" s="8" t="n"/>
      <c r="I380" s="8" t="n"/>
    </row>
    <row r="381">
      <c r="D381">
        <f t="array" ref="D381">IF(B381="","",IFERROR(INDEX(KeywordGroupRange,MATCH(TRUE,ISNUMBER(SEARCH(KeywordRange,B381&amp;" "&amp;C381)),0)),""))</f>
        <v/>
      </c>
      <c r="E381">
        <f>IF(B381="","",D381)</f>
        <v/>
      </c>
      <c r="F381" s="8" t="n"/>
      <c r="G381" s="8" t="n"/>
      <c r="H381" s="8" t="n"/>
      <c r="I381" s="8" t="n"/>
    </row>
    <row r="382">
      <c r="D382">
        <f t="array" ref="D382">IF(B382="","",IFERROR(INDEX(KeywordGroupRange,MATCH(TRUE,ISNUMBER(SEARCH(KeywordRange,B382&amp;" "&amp;C382)),0)),""))</f>
        <v/>
      </c>
      <c r="E382">
        <f>IF(B382="","",D382)</f>
        <v/>
      </c>
      <c r="F382" s="8" t="n"/>
      <c r="G382" s="8" t="n"/>
      <c r="H382" s="8" t="n"/>
      <c r="I382" s="8" t="n"/>
    </row>
    <row r="383">
      <c r="D383">
        <f t="array" ref="D383">IF(B383="","",IFERROR(INDEX(KeywordGroupRange,MATCH(TRUE,ISNUMBER(SEARCH(KeywordRange,B383&amp;" "&amp;C383)),0)),""))</f>
        <v/>
      </c>
      <c r="E383">
        <f>IF(B383="","",D383)</f>
        <v/>
      </c>
      <c r="F383" s="8" t="n"/>
      <c r="G383" s="8" t="n"/>
      <c r="H383" s="8" t="n"/>
      <c r="I383" s="8" t="n"/>
    </row>
    <row r="384">
      <c r="D384">
        <f t="array" ref="D384">IF(B384="","",IFERROR(INDEX(KeywordGroupRange,MATCH(TRUE,ISNUMBER(SEARCH(KeywordRange,B384&amp;" "&amp;C384)),0)),""))</f>
        <v/>
      </c>
      <c r="E384">
        <f>IF(B384="","",D384)</f>
        <v/>
      </c>
      <c r="F384" s="8" t="n"/>
      <c r="G384" s="8" t="n"/>
      <c r="H384" s="8" t="n"/>
      <c r="I384" s="8" t="n"/>
    </row>
    <row r="385">
      <c r="D385">
        <f t="array" ref="D385">IF(B385="","",IFERROR(INDEX(KeywordGroupRange,MATCH(TRUE,ISNUMBER(SEARCH(KeywordRange,B385&amp;" "&amp;C385)),0)),""))</f>
        <v/>
      </c>
      <c r="E385">
        <f>IF(B385="","",D385)</f>
        <v/>
      </c>
      <c r="F385" s="8" t="n"/>
      <c r="G385" s="8" t="n"/>
      <c r="H385" s="8" t="n"/>
      <c r="I385" s="8" t="n"/>
    </row>
    <row r="386">
      <c r="D386">
        <f t="array" ref="D386">IF(B386="","",IFERROR(INDEX(KeywordGroupRange,MATCH(TRUE,ISNUMBER(SEARCH(KeywordRange,B386&amp;" "&amp;C386)),0)),""))</f>
        <v/>
      </c>
      <c r="E386">
        <f>IF(B386="","",D386)</f>
        <v/>
      </c>
      <c r="F386" s="8" t="n"/>
      <c r="G386" s="8" t="n"/>
      <c r="H386" s="8" t="n"/>
      <c r="I386" s="8" t="n"/>
    </row>
    <row r="387">
      <c r="D387">
        <f t="array" ref="D387">IF(B387="","",IFERROR(INDEX(KeywordGroupRange,MATCH(TRUE,ISNUMBER(SEARCH(KeywordRange,B387&amp;" "&amp;C387)),0)),""))</f>
        <v/>
      </c>
      <c r="E387">
        <f>IF(B387="","",D387)</f>
        <v/>
      </c>
      <c r="F387" s="8" t="n"/>
      <c r="G387" s="8" t="n"/>
      <c r="H387" s="8" t="n"/>
      <c r="I387" s="8" t="n"/>
    </row>
    <row r="388">
      <c r="D388">
        <f t="array" ref="D388">IF(B388="","",IFERROR(INDEX(KeywordGroupRange,MATCH(TRUE,ISNUMBER(SEARCH(KeywordRange,B388&amp;" "&amp;C388)),0)),""))</f>
        <v/>
      </c>
      <c r="E388">
        <f>IF(B388="","",D388)</f>
        <v/>
      </c>
      <c r="F388" s="8" t="n"/>
      <c r="G388" s="8" t="n"/>
      <c r="H388" s="8" t="n"/>
      <c r="I388" s="8" t="n"/>
    </row>
    <row r="389">
      <c r="D389">
        <f t="array" ref="D389">IF(B389="","",IFERROR(INDEX(KeywordGroupRange,MATCH(TRUE,ISNUMBER(SEARCH(KeywordRange,B389&amp;" "&amp;C389)),0)),""))</f>
        <v/>
      </c>
      <c r="E389">
        <f>IF(B389="","",D389)</f>
        <v/>
      </c>
      <c r="F389" s="8" t="n"/>
      <c r="G389" s="8" t="n"/>
      <c r="H389" s="8" t="n"/>
      <c r="I389" s="8" t="n"/>
    </row>
    <row r="390">
      <c r="D390">
        <f t="array" ref="D390">IF(B390="","",IFERROR(INDEX(KeywordGroupRange,MATCH(TRUE,ISNUMBER(SEARCH(KeywordRange,B390&amp;" "&amp;C390)),0)),""))</f>
        <v/>
      </c>
      <c r="E390">
        <f>IF(B390="","",D390)</f>
        <v/>
      </c>
      <c r="F390" s="8" t="n"/>
      <c r="G390" s="8" t="n"/>
      <c r="H390" s="8" t="n"/>
      <c r="I390" s="8" t="n"/>
    </row>
    <row r="391">
      <c r="D391">
        <f t="array" ref="D391">IF(B391="","",IFERROR(INDEX(KeywordGroupRange,MATCH(TRUE,ISNUMBER(SEARCH(KeywordRange,B391&amp;" "&amp;C391)),0)),""))</f>
        <v/>
      </c>
      <c r="E391">
        <f>IF(B391="","",D391)</f>
        <v/>
      </c>
      <c r="F391" s="8" t="n"/>
      <c r="G391" s="8" t="n"/>
      <c r="H391" s="8" t="n"/>
      <c r="I391" s="8" t="n"/>
    </row>
    <row r="392">
      <c r="D392">
        <f t="array" ref="D392">IF(B392="","",IFERROR(INDEX(KeywordGroupRange,MATCH(TRUE,ISNUMBER(SEARCH(KeywordRange,B392&amp;" "&amp;C392)),0)),""))</f>
        <v/>
      </c>
      <c r="E392">
        <f>IF(B392="","",D392)</f>
        <v/>
      </c>
      <c r="F392" s="8" t="n"/>
      <c r="G392" s="8" t="n"/>
      <c r="H392" s="8" t="n"/>
      <c r="I392" s="8" t="n"/>
    </row>
    <row r="393">
      <c r="D393">
        <f t="array" ref="D393">IF(B393="","",IFERROR(INDEX(KeywordGroupRange,MATCH(TRUE,ISNUMBER(SEARCH(KeywordRange,B393&amp;" "&amp;C393)),0)),""))</f>
        <v/>
      </c>
      <c r="E393">
        <f>IF(B393="","",D393)</f>
        <v/>
      </c>
      <c r="F393" s="8" t="n"/>
      <c r="G393" s="8" t="n"/>
      <c r="H393" s="8" t="n"/>
      <c r="I393" s="8" t="n"/>
    </row>
    <row r="394">
      <c r="D394">
        <f t="array" ref="D394">IF(B394="","",IFERROR(INDEX(KeywordGroupRange,MATCH(TRUE,ISNUMBER(SEARCH(KeywordRange,B394&amp;" "&amp;C394)),0)),""))</f>
        <v/>
      </c>
      <c r="E394">
        <f>IF(B394="","",D394)</f>
        <v/>
      </c>
      <c r="F394" s="8" t="n"/>
      <c r="G394" s="8" t="n"/>
      <c r="H394" s="8" t="n"/>
      <c r="I394" s="8" t="n"/>
    </row>
    <row r="395">
      <c r="D395">
        <f t="array" ref="D395">IF(B395="","",IFERROR(INDEX(KeywordGroupRange,MATCH(TRUE,ISNUMBER(SEARCH(KeywordRange,B395&amp;" "&amp;C395)),0)),""))</f>
        <v/>
      </c>
      <c r="E395">
        <f>IF(B395="","",D395)</f>
        <v/>
      </c>
      <c r="F395" s="8" t="n"/>
      <c r="G395" s="8" t="n"/>
      <c r="H395" s="8" t="n"/>
      <c r="I395" s="8" t="n"/>
    </row>
    <row r="396">
      <c r="D396">
        <f t="array" ref="D396">IF(B396="","",IFERROR(INDEX(KeywordGroupRange,MATCH(TRUE,ISNUMBER(SEARCH(KeywordRange,B396&amp;" "&amp;C396)),0)),""))</f>
        <v/>
      </c>
      <c r="E396">
        <f>IF(B396="","",D396)</f>
        <v/>
      </c>
      <c r="F396" s="8" t="n"/>
      <c r="G396" s="8" t="n"/>
      <c r="H396" s="8" t="n"/>
      <c r="I396" s="8" t="n"/>
    </row>
    <row r="397">
      <c r="D397">
        <f t="array" ref="D397">IF(B397="","",IFERROR(INDEX(KeywordGroupRange,MATCH(TRUE,ISNUMBER(SEARCH(KeywordRange,B397&amp;" "&amp;C397)),0)),""))</f>
        <v/>
      </c>
      <c r="E397">
        <f>IF(B397="","",D397)</f>
        <v/>
      </c>
      <c r="F397" s="8" t="n"/>
      <c r="G397" s="8" t="n"/>
      <c r="H397" s="8" t="n"/>
      <c r="I397" s="8" t="n"/>
    </row>
    <row r="398">
      <c r="D398">
        <f t="array" ref="D398">IF(B398="","",IFERROR(INDEX(KeywordGroupRange,MATCH(TRUE,ISNUMBER(SEARCH(KeywordRange,B398&amp;" "&amp;C398)),0)),""))</f>
        <v/>
      </c>
      <c r="E398">
        <f>IF(B398="","",D398)</f>
        <v/>
      </c>
      <c r="F398" s="8" t="n"/>
      <c r="G398" s="8" t="n"/>
      <c r="H398" s="8" t="n"/>
      <c r="I398" s="8" t="n"/>
    </row>
    <row r="399">
      <c r="D399">
        <f t="array" ref="D399">IF(B399="","",IFERROR(INDEX(KeywordGroupRange,MATCH(TRUE,ISNUMBER(SEARCH(KeywordRange,B399&amp;" "&amp;C399)),0)),""))</f>
        <v/>
      </c>
      <c r="E399">
        <f>IF(B399="","",D399)</f>
        <v/>
      </c>
      <c r="F399" s="8" t="n"/>
      <c r="G399" s="8" t="n"/>
      <c r="H399" s="8" t="n"/>
      <c r="I399" s="8" t="n"/>
    </row>
    <row r="400">
      <c r="D400">
        <f t="array" ref="D400">IF(B400="","",IFERROR(INDEX(KeywordGroupRange,MATCH(TRUE,ISNUMBER(SEARCH(KeywordRange,B400&amp;" "&amp;C400)),0)),""))</f>
        <v/>
      </c>
      <c r="E400">
        <f>IF(B400="","",D400)</f>
        <v/>
      </c>
      <c r="F400" s="8" t="n"/>
      <c r="G400" s="8" t="n"/>
      <c r="H400" s="8" t="n"/>
      <c r="I400" s="8" t="n"/>
    </row>
    <row r="401">
      <c r="D401">
        <f t="array" ref="D401">IF(B401="","",IFERROR(INDEX(KeywordGroupRange,MATCH(TRUE,ISNUMBER(SEARCH(KeywordRange,B401&amp;" "&amp;C401)),0)),""))</f>
        <v/>
      </c>
      <c r="E401">
        <f>IF(B401="","",D401)</f>
        <v/>
      </c>
      <c r="F401" s="8" t="n"/>
      <c r="G401" s="8" t="n"/>
      <c r="H401" s="8" t="n"/>
      <c r="I401" s="8" t="n"/>
    </row>
    <row r="402">
      <c r="D402">
        <f t="array" ref="D402">IF(B402="","",IFERROR(INDEX(KeywordGroupRange,MATCH(TRUE,ISNUMBER(SEARCH(KeywordRange,B402&amp;" "&amp;C402)),0)),""))</f>
        <v/>
      </c>
      <c r="E402">
        <f>IF(B402="","",D402)</f>
        <v/>
      </c>
      <c r="F402" s="8" t="n"/>
      <c r="G402" s="8" t="n"/>
      <c r="H402" s="8" t="n"/>
      <c r="I402" s="8" t="n"/>
    </row>
    <row r="403">
      <c r="D403">
        <f t="array" ref="D403">IF(B403="","",IFERROR(INDEX(KeywordGroupRange,MATCH(TRUE,ISNUMBER(SEARCH(KeywordRange,B403&amp;" "&amp;C403)),0)),""))</f>
        <v/>
      </c>
      <c r="E403">
        <f>IF(B403="","",D403)</f>
        <v/>
      </c>
      <c r="F403" s="8" t="n"/>
      <c r="G403" s="8" t="n"/>
      <c r="H403" s="8" t="n"/>
      <c r="I403" s="8" t="n"/>
    </row>
    <row r="404">
      <c r="D404">
        <f t="array" ref="D404">IF(B404="","",IFERROR(INDEX(KeywordGroupRange,MATCH(TRUE,ISNUMBER(SEARCH(KeywordRange,B404&amp;" "&amp;C404)),0)),""))</f>
        <v/>
      </c>
      <c r="E404">
        <f>IF(B404="","",D404)</f>
        <v/>
      </c>
      <c r="F404" s="8" t="n"/>
      <c r="G404" s="8" t="n"/>
      <c r="H404" s="8" t="n"/>
      <c r="I404" s="8" t="n"/>
    </row>
    <row r="405">
      <c r="D405">
        <f t="array" ref="D405">IF(B405="","",IFERROR(INDEX(KeywordGroupRange,MATCH(TRUE,ISNUMBER(SEARCH(KeywordRange,B405&amp;" "&amp;C405)),0)),""))</f>
        <v/>
      </c>
      <c r="E405">
        <f>IF(B405="","",D405)</f>
        <v/>
      </c>
      <c r="F405" s="8" t="n"/>
      <c r="G405" s="8" t="n"/>
      <c r="H405" s="8" t="n"/>
      <c r="I405" s="8" t="n"/>
    </row>
    <row r="406">
      <c r="D406">
        <f t="array" ref="D406">IF(B406="","",IFERROR(INDEX(KeywordGroupRange,MATCH(TRUE,ISNUMBER(SEARCH(KeywordRange,B406&amp;" "&amp;C406)),0)),""))</f>
        <v/>
      </c>
      <c r="E406">
        <f>IF(B406="","",D406)</f>
        <v/>
      </c>
      <c r="F406" s="8" t="n"/>
      <c r="G406" s="8" t="n"/>
      <c r="H406" s="8" t="n"/>
      <c r="I406" s="8" t="n"/>
    </row>
    <row r="407">
      <c r="D407">
        <f t="array" ref="D407">IF(B407="","",IFERROR(INDEX(KeywordGroupRange,MATCH(TRUE,ISNUMBER(SEARCH(KeywordRange,B407&amp;" "&amp;C407)),0)),""))</f>
        <v/>
      </c>
      <c r="E407">
        <f>IF(B407="","",D407)</f>
        <v/>
      </c>
      <c r="F407" s="8" t="n"/>
      <c r="G407" s="8" t="n"/>
      <c r="H407" s="8" t="n"/>
      <c r="I407" s="8" t="n"/>
    </row>
    <row r="408">
      <c r="D408">
        <f t="array" ref="D408">IF(B408="","",IFERROR(INDEX(KeywordGroupRange,MATCH(TRUE,ISNUMBER(SEARCH(KeywordRange,B408&amp;" "&amp;C408)),0)),""))</f>
        <v/>
      </c>
      <c r="E408">
        <f>IF(B408="","",D408)</f>
        <v/>
      </c>
      <c r="F408" s="8" t="n"/>
      <c r="G408" s="8" t="n"/>
      <c r="H408" s="8" t="n"/>
      <c r="I408" s="8" t="n"/>
    </row>
    <row r="409">
      <c r="D409">
        <f t="array" ref="D409">IF(B409="","",IFERROR(INDEX(KeywordGroupRange,MATCH(TRUE,ISNUMBER(SEARCH(KeywordRange,B409&amp;" "&amp;C409)),0)),""))</f>
        <v/>
      </c>
      <c r="E409">
        <f>IF(B409="","",D409)</f>
        <v/>
      </c>
      <c r="F409" s="8" t="n"/>
      <c r="G409" s="8" t="n"/>
      <c r="H409" s="8" t="n"/>
      <c r="I409" s="8" t="n"/>
    </row>
    <row r="410">
      <c r="D410">
        <f t="array" ref="D410">IF(B410="","",IFERROR(INDEX(KeywordGroupRange,MATCH(TRUE,ISNUMBER(SEARCH(KeywordRange,B410&amp;" "&amp;C410)),0)),""))</f>
        <v/>
      </c>
      <c r="E410">
        <f>IF(B410="","",D410)</f>
        <v/>
      </c>
      <c r="F410" s="8" t="n"/>
      <c r="G410" s="8" t="n"/>
      <c r="H410" s="8" t="n"/>
      <c r="I410" s="8" t="n"/>
    </row>
    <row r="411">
      <c r="D411">
        <f t="array" ref="D411">IF(B411="","",IFERROR(INDEX(KeywordGroupRange,MATCH(TRUE,ISNUMBER(SEARCH(KeywordRange,B411&amp;" "&amp;C411)),0)),""))</f>
        <v/>
      </c>
      <c r="E411">
        <f>IF(B411="","",D411)</f>
        <v/>
      </c>
      <c r="F411" s="8" t="n"/>
      <c r="G411" s="8" t="n"/>
      <c r="H411" s="8" t="n"/>
      <c r="I411" s="8" t="n"/>
    </row>
    <row r="412">
      <c r="D412">
        <f t="array" ref="D412">IF(B412="","",IFERROR(INDEX(KeywordGroupRange,MATCH(TRUE,ISNUMBER(SEARCH(KeywordRange,B412&amp;" "&amp;C412)),0)),""))</f>
        <v/>
      </c>
      <c r="E412">
        <f>IF(B412="","",D412)</f>
        <v/>
      </c>
      <c r="F412" s="8" t="n"/>
      <c r="G412" s="8" t="n"/>
      <c r="H412" s="8" t="n"/>
      <c r="I412" s="8" t="n"/>
    </row>
    <row r="413">
      <c r="D413">
        <f t="array" ref="D413">IF(B413="","",IFERROR(INDEX(KeywordGroupRange,MATCH(TRUE,ISNUMBER(SEARCH(KeywordRange,B413&amp;" "&amp;C413)),0)),""))</f>
        <v/>
      </c>
      <c r="E413">
        <f>IF(B413="","",D413)</f>
        <v/>
      </c>
      <c r="F413" s="8" t="n"/>
      <c r="G413" s="8" t="n"/>
      <c r="H413" s="8" t="n"/>
      <c r="I413" s="8" t="n"/>
    </row>
    <row r="414">
      <c r="D414">
        <f t="array" ref="D414">IF(B414="","",IFERROR(INDEX(KeywordGroupRange,MATCH(TRUE,ISNUMBER(SEARCH(KeywordRange,B414&amp;" "&amp;C414)),0)),""))</f>
        <v/>
      </c>
      <c r="E414">
        <f>IF(B414="","",D414)</f>
        <v/>
      </c>
      <c r="F414" s="8" t="n"/>
      <c r="G414" s="8" t="n"/>
      <c r="H414" s="8" t="n"/>
      <c r="I414" s="8" t="n"/>
    </row>
    <row r="415">
      <c r="D415">
        <f t="array" ref="D415">IF(B415="","",IFERROR(INDEX(KeywordGroupRange,MATCH(TRUE,ISNUMBER(SEARCH(KeywordRange,B415&amp;" "&amp;C415)),0)),""))</f>
        <v/>
      </c>
      <c r="E415">
        <f>IF(B415="","",D415)</f>
        <v/>
      </c>
      <c r="F415" s="8" t="n"/>
      <c r="G415" s="8" t="n"/>
      <c r="H415" s="8" t="n"/>
      <c r="I415" s="8" t="n"/>
    </row>
    <row r="416">
      <c r="D416">
        <f t="array" ref="D416">IF(B416="","",IFERROR(INDEX(KeywordGroupRange,MATCH(TRUE,ISNUMBER(SEARCH(KeywordRange,B416&amp;" "&amp;C416)),0)),""))</f>
        <v/>
      </c>
      <c r="E416">
        <f>IF(B416="","",D416)</f>
        <v/>
      </c>
      <c r="F416" s="8" t="n"/>
      <c r="G416" s="8" t="n"/>
      <c r="H416" s="8" t="n"/>
      <c r="I416" s="8" t="n"/>
    </row>
    <row r="417">
      <c r="D417">
        <f t="array" ref="D417">IF(B417="","",IFERROR(INDEX(KeywordGroupRange,MATCH(TRUE,ISNUMBER(SEARCH(KeywordRange,B417&amp;" "&amp;C417)),0)),""))</f>
        <v/>
      </c>
      <c r="E417">
        <f>IF(B417="","",D417)</f>
        <v/>
      </c>
      <c r="F417" s="8" t="n"/>
      <c r="G417" s="8" t="n"/>
      <c r="H417" s="8" t="n"/>
      <c r="I417" s="8" t="n"/>
    </row>
    <row r="418">
      <c r="D418">
        <f t="array" ref="D418">IF(B418="","",IFERROR(INDEX(KeywordGroupRange,MATCH(TRUE,ISNUMBER(SEARCH(KeywordRange,B418&amp;" "&amp;C418)),0)),""))</f>
        <v/>
      </c>
      <c r="E418">
        <f>IF(B418="","",D418)</f>
        <v/>
      </c>
      <c r="F418" s="8" t="n"/>
      <c r="G418" s="8" t="n"/>
      <c r="H418" s="8" t="n"/>
      <c r="I418" s="8" t="n"/>
    </row>
    <row r="419">
      <c r="D419">
        <f t="array" ref="D419">IF(B419="","",IFERROR(INDEX(KeywordGroupRange,MATCH(TRUE,ISNUMBER(SEARCH(KeywordRange,B419&amp;" "&amp;C419)),0)),""))</f>
        <v/>
      </c>
      <c r="E419">
        <f>IF(B419="","",D419)</f>
        <v/>
      </c>
      <c r="F419" s="8" t="n"/>
      <c r="G419" s="8" t="n"/>
      <c r="H419" s="8" t="n"/>
      <c r="I419" s="8" t="n"/>
    </row>
    <row r="420">
      <c r="D420">
        <f t="array" ref="D420">IF(B420="","",IFERROR(INDEX(KeywordGroupRange,MATCH(TRUE,ISNUMBER(SEARCH(KeywordRange,B420&amp;" "&amp;C420)),0)),""))</f>
        <v/>
      </c>
      <c r="E420">
        <f>IF(B420="","",D420)</f>
        <v/>
      </c>
      <c r="F420" s="8" t="n"/>
      <c r="G420" s="8" t="n"/>
      <c r="H420" s="8" t="n"/>
      <c r="I420" s="8" t="n"/>
    </row>
    <row r="421">
      <c r="D421">
        <f t="array" ref="D421">IF(B421="","",IFERROR(INDEX(KeywordGroupRange,MATCH(TRUE,ISNUMBER(SEARCH(KeywordRange,B421&amp;" "&amp;C421)),0)),""))</f>
        <v/>
      </c>
      <c r="E421">
        <f>IF(B421="","",D421)</f>
        <v/>
      </c>
      <c r="F421" s="8" t="n"/>
      <c r="G421" s="8" t="n"/>
      <c r="H421" s="8" t="n"/>
      <c r="I421" s="8" t="n"/>
    </row>
    <row r="422">
      <c r="D422">
        <f t="array" ref="D422">IF(B422="","",IFERROR(INDEX(KeywordGroupRange,MATCH(TRUE,ISNUMBER(SEARCH(KeywordRange,B422&amp;" "&amp;C422)),0)),""))</f>
        <v/>
      </c>
      <c r="E422">
        <f>IF(B422="","",D422)</f>
        <v/>
      </c>
      <c r="F422" s="8" t="n"/>
      <c r="G422" s="8" t="n"/>
      <c r="H422" s="8" t="n"/>
      <c r="I422" s="8" t="n"/>
    </row>
    <row r="423">
      <c r="D423">
        <f t="array" ref="D423">IF(B423="","",IFERROR(INDEX(KeywordGroupRange,MATCH(TRUE,ISNUMBER(SEARCH(KeywordRange,B423&amp;" "&amp;C423)),0)),""))</f>
        <v/>
      </c>
      <c r="E423">
        <f>IF(B423="","",D423)</f>
        <v/>
      </c>
      <c r="F423" s="8" t="n"/>
      <c r="G423" s="8" t="n"/>
      <c r="H423" s="8" t="n"/>
      <c r="I423" s="8" t="n"/>
    </row>
    <row r="424">
      <c r="D424">
        <f t="array" ref="D424">IF(B424="","",IFERROR(INDEX(KeywordGroupRange,MATCH(TRUE,ISNUMBER(SEARCH(KeywordRange,B424&amp;" "&amp;C424)),0)),""))</f>
        <v/>
      </c>
      <c r="E424">
        <f>IF(B424="","",D424)</f>
        <v/>
      </c>
      <c r="F424" s="8" t="n"/>
      <c r="G424" s="8" t="n"/>
      <c r="H424" s="8" t="n"/>
      <c r="I424" s="8" t="n"/>
    </row>
    <row r="425">
      <c r="D425">
        <f t="array" ref="D425">IF(B425="","",IFERROR(INDEX(KeywordGroupRange,MATCH(TRUE,ISNUMBER(SEARCH(KeywordRange,B425&amp;" "&amp;C425)),0)),""))</f>
        <v/>
      </c>
      <c r="E425">
        <f>IF(B425="","",D425)</f>
        <v/>
      </c>
      <c r="F425" s="8" t="n"/>
      <c r="G425" s="8" t="n"/>
      <c r="H425" s="8" t="n"/>
      <c r="I425" s="8" t="n"/>
    </row>
    <row r="426">
      <c r="D426">
        <f t="array" ref="D426">IF(B426="","",IFERROR(INDEX(KeywordGroupRange,MATCH(TRUE,ISNUMBER(SEARCH(KeywordRange,B426&amp;" "&amp;C426)),0)),""))</f>
        <v/>
      </c>
      <c r="E426">
        <f>IF(B426="","",D426)</f>
        <v/>
      </c>
      <c r="F426" s="8" t="n"/>
      <c r="G426" s="8" t="n"/>
      <c r="H426" s="8" t="n"/>
      <c r="I426" s="8" t="n"/>
    </row>
    <row r="427">
      <c r="D427">
        <f t="array" ref="D427">IF(B427="","",IFERROR(INDEX(KeywordGroupRange,MATCH(TRUE,ISNUMBER(SEARCH(KeywordRange,B427&amp;" "&amp;C427)),0)),""))</f>
        <v/>
      </c>
      <c r="E427">
        <f>IF(B427="","",D427)</f>
        <v/>
      </c>
      <c r="F427" s="8" t="n"/>
      <c r="G427" s="8" t="n"/>
      <c r="H427" s="8" t="n"/>
      <c r="I427" s="8" t="n"/>
    </row>
    <row r="428">
      <c r="D428">
        <f t="array" ref="D428">IF(B428="","",IFERROR(INDEX(KeywordGroupRange,MATCH(TRUE,ISNUMBER(SEARCH(KeywordRange,B428&amp;" "&amp;C428)),0)),""))</f>
        <v/>
      </c>
      <c r="E428">
        <f>IF(B428="","",D428)</f>
        <v/>
      </c>
      <c r="F428" s="8" t="n"/>
      <c r="G428" s="8" t="n"/>
      <c r="H428" s="8" t="n"/>
      <c r="I428" s="8" t="n"/>
    </row>
    <row r="429">
      <c r="D429">
        <f t="array" ref="D429">IF(B429="","",IFERROR(INDEX(KeywordGroupRange,MATCH(TRUE,ISNUMBER(SEARCH(KeywordRange,B429&amp;" "&amp;C429)),0)),""))</f>
        <v/>
      </c>
      <c r="E429">
        <f>IF(B429="","",D429)</f>
        <v/>
      </c>
      <c r="F429" s="8" t="n"/>
      <c r="G429" s="8" t="n"/>
      <c r="H429" s="8" t="n"/>
      <c r="I429" s="8" t="n"/>
    </row>
    <row r="430">
      <c r="D430">
        <f t="array" ref="D430">IF(B430="","",IFERROR(INDEX(KeywordGroupRange,MATCH(TRUE,ISNUMBER(SEARCH(KeywordRange,B430&amp;" "&amp;C430)),0)),""))</f>
        <v/>
      </c>
      <c r="E430">
        <f>IF(B430="","",D430)</f>
        <v/>
      </c>
      <c r="F430" s="8" t="n"/>
      <c r="G430" s="8" t="n"/>
      <c r="H430" s="8" t="n"/>
      <c r="I430" s="8" t="n"/>
    </row>
    <row r="431">
      <c r="D431">
        <f t="array" ref="D431">IF(B431="","",IFERROR(INDEX(KeywordGroupRange,MATCH(TRUE,ISNUMBER(SEARCH(KeywordRange,B431&amp;" "&amp;C431)),0)),""))</f>
        <v/>
      </c>
      <c r="E431">
        <f>IF(B431="","",D431)</f>
        <v/>
      </c>
      <c r="F431" s="8" t="n"/>
      <c r="G431" s="8" t="n"/>
      <c r="H431" s="8" t="n"/>
      <c r="I431" s="8" t="n"/>
    </row>
    <row r="432">
      <c r="D432">
        <f t="array" ref="D432">IF(B432="","",IFERROR(INDEX(KeywordGroupRange,MATCH(TRUE,ISNUMBER(SEARCH(KeywordRange,B432&amp;" "&amp;C432)),0)),""))</f>
        <v/>
      </c>
      <c r="E432">
        <f>IF(B432="","",D432)</f>
        <v/>
      </c>
      <c r="F432" s="8" t="n"/>
      <c r="G432" s="8" t="n"/>
      <c r="H432" s="8" t="n"/>
      <c r="I432" s="8" t="n"/>
    </row>
    <row r="433">
      <c r="D433">
        <f t="array" ref="D433">IF(B433="","",IFERROR(INDEX(KeywordGroupRange,MATCH(TRUE,ISNUMBER(SEARCH(KeywordRange,B433&amp;" "&amp;C433)),0)),""))</f>
        <v/>
      </c>
      <c r="E433">
        <f>IF(B433="","",D433)</f>
        <v/>
      </c>
      <c r="F433" s="8" t="n"/>
      <c r="G433" s="8" t="n"/>
      <c r="H433" s="8" t="n"/>
      <c r="I433" s="8" t="n"/>
    </row>
    <row r="434">
      <c r="D434">
        <f t="array" ref="D434">IF(B434="","",IFERROR(INDEX(KeywordGroupRange,MATCH(TRUE,ISNUMBER(SEARCH(KeywordRange,B434&amp;" "&amp;C434)),0)),""))</f>
        <v/>
      </c>
      <c r="E434">
        <f>IF(B434="","",D434)</f>
        <v/>
      </c>
      <c r="F434" s="8" t="n"/>
      <c r="G434" s="8" t="n"/>
      <c r="H434" s="8" t="n"/>
      <c r="I434" s="8" t="n"/>
    </row>
    <row r="435">
      <c r="D435">
        <f t="array" ref="D435">IF(B435="","",IFERROR(INDEX(KeywordGroupRange,MATCH(TRUE,ISNUMBER(SEARCH(KeywordRange,B435&amp;" "&amp;C435)),0)),""))</f>
        <v/>
      </c>
      <c r="E435">
        <f>IF(B435="","",D435)</f>
        <v/>
      </c>
      <c r="F435" s="8" t="n"/>
      <c r="G435" s="8" t="n"/>
      <c r="H435" s="8" t="n"/>
      <c r="I435" s="8" t="n"/>
    </row>
    <row r="436">
      <c r="D436">
        <f t="array" ref="D436">IF(B436="","",IFERROR(INDEX(KeywordGroupRange,MATCH(TRUE,ISNUMBER(SEARCH(KeywordRange,B436&amp;" "&amp;C436)),0)),""))</f>
        <v/>
      </c>
      <c r="E436">
        <f>IF(B436="","",D436)</f>
        <v/>
      </c>
      <c r="F436" s="8" t="n"/>
      <c r="G436" s="8" t="n"/>
      <c r="H436" s="8" t="n"/>
      <c r="I436" s="8" t="n"/>
    </row>
    <row r="437">
      <c r="D437">
        <f t="array" ref="D437">IF(B437="","",IFERROR(INDEX(KeywordGroupRange,MATCH(TRUE,ISNUMBER(SEARCH(KeywordRange,B437&amp;" "&amp;C437)),0)),""))</f>
        <v/>
      </c>
      <c r="E437">
        <f>IF(B437="","",D437)</f>
        <v/>
      </c>
      <c r="F437" s="8" t="n"/>
      <c r="G437" s="8" t="n"/>
      <c r="H437" s="8" t="n"/>
      <c r="I437" s="8" t="n"/>
    </row>
    <row r="438">
      <c r="D438">
        <f t="array" ref="D438">IF(B438="","",IFERROR(INDEX(KeywordGroupRange,MATCH(TRUE,ISNUMBER(SEARCH(KeywordRange,B438&amp;" "&amp;C438)),0)),""))</f>
        <v/>
      </c>
      <c r="E438">
        <f>IF(B438="","",D438)</f>
        <v/>
      </c>
      <c r="F438" s="8" t="n"/>
      <c r="G438" s="8" t="n"/>
      <c r="H438" s="8" t="n"/>
      <c r="I438" s="8" t="n"/>
    </row>
    <row r="439">
      <c r="D439">
        <f t="array" ref="D439">IF(B439="","",IFERROR(INDEX(KeywordGroupRange,MATCH(TRUE,ISNUMBER(SEARCH(KeywordRange,B439&amp;" "&amp;C439)),0)),""))</f>
        <v/>
      </c>
      <c r="E439">
        <f>IF(B439="","",D439)</f>
        <v/>
      </c>
      <c r="F439" s="8" t="n"/>
      <c r="G439" s="8" t="n"/>
      <c r="H439" s="8" t="n"/>
      <c r="I439" s="8" t="n"/>
    </row>
    <row r="440">
      <c r="D440">
        <f t="array" ref="D440">IF(B440="","",IFERROR(INDEX(KeywordGroupRange,MATCH(TRUE,ISNUMBER(SEARCH(KeywordRange,B440&amp;" "&amp;C440)),0)),""))</f>
        <v/>
      </c>
      <c r="E440">
        <f>IF(B440="","",D440)</f>
        <v/>
      </c>
      <c r="F440" s="8" t="n"/>
      <c r="G440" s="8" t="n"/>
      <c r="H440" s="8" t="n"/>
      <c r="I440" s="8" t="n"/>
    </row>
    <row r="441">
      <c r="D441">
        <f t="array" ref="D441">IF(B441="","",IFERROR(INDEX(KeywordGroupRange,MATCH(TRUE,ISNUMBER(SEARCH(KeywordRange,B441&amp;" "&amp;C441)),0)),""))</f>
        <v/>
      </c>
      <c r="E441">
        <f>IF(B441="","",D441)</f>
        <v/>
      </c>
      <c r="F441" s="8" t="n"/>
      <c r="G441" s="8" t="n"/>
      <c r="H441" s="8" t="n"/>
      <c r="I441" s="8" t="n"/>
    </row>
    <row r="442">
      <c r="D442">
        <f t="array" ref="D442">IF(B442="","",IFERROR(INDEX(KeywordGroupRange,MATCH(TRUE,ISNUMBER(SEARCH(KeywordRange,B442&amp;" "&amp;C442)),0)),""))</f>
        <v/>
      </c>
      <c r="E442">
        <f>IF(B442="","",D442)</f>
        <v/>
      </c>
      <c r="F442" s="8" t="n"/>
      <c r="G442" s="8" t="n"/>
      <c r="H442" s="8" t="n"/>
      <c r="I442" s="8" t="n"/>
    </row>
    <row r="443">
      <c r="D443">
        <f t="array" ref="D443">IF(B443="","",IFERROR(INDEX(KeywordGroupRange,MATCH(TRUE,ISNUMBER(SEARCH(KeywordRange,B443&amp;" "&amp;C443)),0)),""))</f>
        <v/>
      </c>
      <c r="E443">
        <f>IF(B443="","",D443)</f>
        <v/>
      </c>
      <c r="F443" s="8" t="n"/>
      <c r="G443" s="8" t="n"/>
      <c r="H443" s="8" t="n"/>
      <c r="I443" s="8" t="n"/>
    </row>
    <row r="444">
      <c r="D444">
        <f t="array" ref="D444">IF(B444="","",IFERROR(INDEX(KeywordGroupRange,MATCH(TRUE,ISNUMBER(SEARCH(KeywordRange,B444&amp;" "&amp;C444)),0)),""))</f>
        <v/>
      </c>
      <c r="E444">
        <f>IF(B444="","",D444)</f>
        <v/>
      </c>
      <c r="F444" s="8" t="n"/>
      <c r="G444" s="8" t="n"/>
      <c r="H444" s="8" t="n"/>
      <c r="I444" s="8" t="n"/>
    </row>
    <row r="445">
      <c r="D445">
        <f t="array" ref="D445">IF(B445="","",IFERROR(INDEX(KeywordGroupRange,MATCH(TRUE,ISNUMBER(SEARCH(KeywordRange,B445&amp;" "&amp;C445)),0)),""))</f>
        <v/>
      </c>
      <c r="E445">
        <f>IF(B445="","",D445)</f>
        <v/>
      </c>
      <c r="F445" s="8" t="n"/>
      <c r="G445" s="8" t="n"/>
      <c r="H445" s="8" t="n"/>
      <c r="I445" s="8" t="n"/>
    </row>
    <row r="446">
      <c r="D446">
        <f t="array" ref="D446">IF(B446="","",IFERROR(INDEX(KeywordGroupRange,MATCH(TRUE,ISNUMBER(SEARCH(KeywordRange,B446&amp;" "&amp;C446)),0)),""))</f>
        <v/>
      </c>
      <c r="E446">
        <f>IF(B446="","",D446)</f>
        <v/>
      </c>
      <c r="F446" s="8" t="n"/>
      <c r="G446" s="8" t="n"/>
      <c r="H446" s="8" t="n"/>
      <c r="I446" s="8" t="n"/>
    </row>
    <row r="447">
      <c r="D447">
        <f t="array" ref="D447">IF(B447="","",IFERROR(INDEX(KeywordGroupRange,MATCH(TRUE,ISNUMBER(SEARCH(KeywordRange,B447&amp;" "&amp;C447)),0)),""))</f>
        <v/>
      </c>
      <c r="E447">
        <f>IF(B447="","",D447)</f>
        <v/>
      </c>
      <c r="F447" s="8" t="n"/>
      <c r="G447" s="8" t="n"/>
      <c r="H447" s="8" t="n"/>
      <c r="I447" s="8" t="n"/>
    </row>
    <row r="448">
      <c r="D448">
        <f t="array" ref="D448">IF(B448="","",IFERROR(INDEX(KeywordGroupRange,MATCH(TRUE,ISNUMBER(SEARCH(KeywordRange,B448&amp;" "&amp;C448)),0)),""))</f>
        <v/>
      </c>
      <c r="E448">
        <f>IF(B448="","",D448)</f>
        <v/>
      </c>
      <c r="F448" s="8" t="n"/>
      <c r="G448" s="8" t="n"/>
      <c r="H448" s="8" t="n"/>
      <c r="I448" s="8" t="n"/>
    </row>
    <row r="449">
      <c r="D449">
        <f t="array" ref="D449">IF(B449="","",IFERROR(INDEX(KeywordGroupRange,MATCH(TRUE,ISNUMBER(SEARCH(KeywordRange,B449&amp;" "&amp;C449)),0)),""))</f>
        <v/>
      </c>
      <c r="E449">
        <f>IF(B449="","",D449)</f>
        <v/>
      </c>
      <c r="F449" s="8" t="n"/>
      <c r="G449" s="8" t="n"/>
      <c r="H449" s="8" t="n"/>
      <c r="I449" s="8" t="n"/>
    </row>
    <row r="450">
      <c r="D450">
        <f t="array" ref="D450">IF(B450="","",IFERROR(INDEX(KeywordGroupRange,MATCH(TRUE,ISNUMBER(SEARCH(KeywordRange,B450&amp;" "&amp;C450)),0)),""))</f>
        <v/>
      </c>
      <c r="E450">
        <f>IF(B450="","",D450)</f>
        <v/>
      </c>
      <c r="F450" s="8" t="n"/>
      <c r="G450" s="8" t="n"/>
      <c r="H450" s="8" t="n"/>
      <c r="I450" s="8" t="n"/>
    </row>
    <row r="451">
      <c r="D451">
        <f t="array" ref="D451">IF(B451="","",IFERROR(INDEX(KeywordGroupRange,MATCH(TRUE,ISNUMBER(SEARCH(KeywordRange,B451&amp;" "&amp;C451)),0)),""))</f>
        <v/>
      </c>
      <c r="E451">
        <f>IF(B451="","",D451)</f>
        <v/>
      </c>
      <c r="F451" s="8" t="n"/>
      <c r="G451" s="8" t="n"/>
      <c r="H451" s="8" t="n"/>
      <c r="I451" s="8" t="n"/>
    </row>
    <row r="452">
      <c r="D452">
        <f t="array" ref="D452">IF(B452="","",IFERROR(INDEX(KeywordGroupRange,MATCH(TRUE,ISNUMBER(SEARCH(KeywordRange,B452&amp;" "&amp;C452)),0)),""))</f>
        <v/>
      </c>
      <c r="E452">
        <f>IF(B452="","",D452)</f>
        <v/>
      </c>
      <c r="F452" s="8" t="n"/>
      <c r="G452" s="8" t="n"/>
      <c r="H452" s="8" t="n"/>
      <c r="I452" s="8" t="n"/>
    </row>
    <row r="453">
      <c r="D453">
        <f t="array" ref="D453">IF(B453="","",IFERROR(INDEX(KeywordGroupRange,MATCH(TRUE,ISNUMBER(SEARCH(KeywordRange,B453&amp;" "&amp;C453)),0)),""))</f>
        <v/>
      </c>
      <c r="E453">
        <f>IF(B453="","",D453)</f>
        <v/>
      </c>
      <c r="F453" s="8" t="n"/>
      <c r="G453" s="8" t="n"/>
      <c r="H453" s="8" t="n"/>
      <c r="I453" s="8" t="n"/>
    </row>
    <row r="454">
      <c r="D454">
        <f t="array" ref="D454">IF(B454="","",IFERROR(INDEX(KeywordGroupRange,MATCH(TRUE,ISNUMBER(SEARCH(KeywordRange,B454&amp;" "&amp;C454)),0)),""))</f>
        <v/>
      </c>
      <c r="E454">
        <f>IF(B454="","",D454)</f>
        <v/>
      </c>
      <c r="F454" s="8" t="n"/>
      <c r="G454" s="8" t="n"/>
      <c r="H454" s="8" t="n"/>
      <c r="I454" s="8" t="n"/>
    </row>
    <row r="455">
      <c r="D455">
        <f t="array" ref="D455">IF(B455="","",IFERROR(INDEX(KeywordGroupRange,MATCH(TRUE,ISNUMBER(SEARCH(KeywordRange,B455&amp;" "&amp;C455)),0)),""))</f>
        <v/>
      </c>
      <c r="E455">
        <f>IF(B455="","",D455)</f>
        <v/>
      </c>
      <c r="F455" s="8" t="n"/>
      <c r="G455" s="8" t="n"/>
      <c r="H455" s="8" t="n"/>
      <c r="I455" s="8" t="n"/>
    </row>
    <row r="456">
      <c r="D456">
        <f t="array" ref="D456">IF(B456="","",IFERROR(INDEX(KeywordGroupRange,MATCH(TRUE,ISNUMBER(SEARCH(KeywordRange,B456&amp;" "&amp;C456)),0)),""))</f>
        <v/>
      </c>
      <c r="E456">
        <f>IF(B456="","",D456)</f>
        <v/>
      </c>
      <c r="F456" s="8" t="n"/>
      <c r="G456" s="8" t="n"/>
      <c r="H456" s="8" t="n"/>
      <c r="I456" s="8" t="n"/>
    </row>
    <row r="457">
      <c r="D457">
        <f t="array" ref="D457">IF(B457="","",IFERROR(INDEX(KeywordGroupRange,MATCH(TRUE,ISNUMBER(SEARCH(KeywordRange,B457&amp;" "&amp;C457)),0)),""))</f>
        <v/>
      </c>
      <c r="E457">
        <f>IF(B457="","",D457)</f>
        <v/>
      </c>
      <c r="F457" s="8" t="n"/>
      <c r="G457" s="8" t="n"/>
      <c r="H457" s="8" t="n"/>
      <c r="I457" s="8" t="n"/>
    </row>
    <row r="458">
      <c r="D458">
        <f t="array" ref="D458">IF(B458="","",IFERROR(INDEX(KeywordGroupRange,MATCH(TRUE,ISNUMBER(SEARCH(KeywordRange,B458&amp;" "&amp;C458)),0)),""))</f>
        <v/>
      </c>
      <c r="E458">
        <f>IF(B458="","",D458)</f>
        <v/>
      </c>
      <c r="F458" s="8" t="n"/>
      <c r="G458" s="8" t="n"/>
      <c r="H458" s="8" t="n"/>
      <c r="I458" s="8" t="n"/>
    </row>
    <row r="459">
      <c r="D459">
        <f t="array" ref="D459">IF(B459="","",IFERROR(INDEX(KeywordGroupRange,MATCH(TRUE,ISNUMBER(SEARCH(KeywordRange,B459&amp;" "&amp;C459)),0)),""))</f>
        <v/>
      </c>
      <c r="E459">
        <f>IF(B459="","",D459)</f>
        <v/>
      </c>
      <c r="F459" s="8" t="n"/>
      <c r="G459" s="8" t="n"/>
      <c r="H459" s="8" t="n"/>
      <c r="I459" s="8" t="n"/>
    </row>
    <row r="460">
      <c r="D460">
        <f t="array" ref="D460">IF(B460="","",IFERROR(INDEX(KeywordGroupRange,MATCH(TRUE,ISNUMBER(SEARCH(KeywordRange,B460&amp;" "&amp;C460)),0)),""))</f>
        <v/>
      </c>
      <c r="E460">
        <f>IF(B460="","",D460)</f>
        <v/>
      </c>
      <c r="F460" s="8" t="n"/>
      <c r="G460" s="8" t="n"/>
      <c r="H460" s="8" t="n"/>
      <c r="I460" s="8" t="n"/>
    </row>
    <row r="461">
      <c r="D461">
        <f t="array" ref="D461">IF(B461="","",IFERROR(INDEX(KeywordGroupRange,MATCH(TRUE,ISNUMBER(SEARCH(KeywordRange,B461&amp;" "&amp;C461)),0)),""))</f>
        <v/>
      </c>
      <c r="E461">
        <f>IF(B461="","",D461)</f>
        <v/>
      </c>
      <c r="F461" s="8" t="n"/>
      <c r="G461" s="8" t="n"/>
      <c r="H461" s="8" t="n"/>
      <c r="I461" s="8" t="n"/>
    </row>
    <row r="462">
      <c r="D462">
        <f t="array" ref="D462">IF(B462="","",IFERROR(INDEX(KeywordGroupRange,MATCH(TRUE,ISNUMBER(SEARCH(KeywordRange,B462&amp;" "&amp;C462)),0)),""))</f>
        <v/>
      </c>
      <c r="E462">
        <f>IF(B462="","",D462)</f>
        <v/>
      </c>
      <c r="F462" s="8" t="n"/>
      <c r="G462" s="8" t="n"/>
      <c r="H462" s="8" t="n"/>
      <c r="I462" s="8" t="n"/>
    </row>
    <row r="463">
      <c r="D463">
        <f t="array" ref="D463">IF(B463="","",IFERROR(INDEX(KeywordGroupRange,MATCH(TRUE,ISNUMBER(SEARCH(KeywordRange,B463&amp;" "&amp;C463)),0)),""))</f>
        <v/>
      </c>
      <c r="E463">
        <f>IF(B463="","",D463)</f>
        <v/>
      </c>
      <c r="F463" s="8" t="n"/>
      <c r="G463" s="8" t="n"/>
      <c r="H463" s="8" t="n"/>
      <c r="I463" s="8" t="n"/>
    </row>
    <row r="464">
      <c r="D464">
        <f t="array" ref="D464">IF(B464="","",IFERROR(INDEX(KeywordGroupRange,MATCH(TRUE,ISNUMBER(SEARCH(KeywordRange,B464&amp;" "&amp;C464)),0)),""))</f>
        <v/>
      </c>
      <c r="E464">
        <f>IF(B464="","",D464)</f>
        <v/>
      </c>
      <c r="F464" s="8" t="n"/>
      <c r="G464" s="8" t="n"/>
      <c r="H464" s="8" t="n"/>
      <c r="I464" s="8" t="n"/>
    </row>
    <row r="465">
      <c r="D465">
        <f t="array" ref="D465">IF(B465="","",IFERROR(INDEX(KeywordGroupRange,MATCH(TRUE,ISNUMBER(SEARCH(KeywordRange,B465&amp;" "&amp;C465)),0)),""))</f>
        <v/>
      </c>
      <c r="E465">
        <f>IF(B465="","",D465)</f>
        <v/>
      </c>
      <c r="F465" s="8" t="n"/>
      <c r="G465" s="8" t="n"/>
      <c r="H465" s="8" t="n"/>
      <c r="I465" s="8" t="n"/>
    </row>
    <row r="466">
      <c r="D466">
        <f t="array" ref="D466">IF(B466="","",IFERROR(INDEX(KeywordGroupRange,MATCH(TRUE,ISNUMBER(SEARCH(KeywordRange,B466&amp;" "&amp;C466)),0)),""))</f>
        <v/>
      </c>
      <c r="E466">
        <f>IF(B466="","",D466)</f>
        <v/>
      </c>
      <c r="F466" s="8" t="n"/>
      <c r="G466" s="8" t="n"/>
      <c r="H466" s="8" t="n"/>
      <c r="I466" s="8" t="n"/>
    </row>
    <row r="467">
      <c r="D467">
        <f t="array" ref="D467">IF(B467="","",IFERROR(INDEX(KeywordGroupRange,MATCH(TRUE,ISNUMBER(SEARCH(KeywordRange,B467&amp;" "&amp;C467)),0)),""))</f>
        <v/>
      </c>
      <c r="E467">
        <f>IF(B467="","",D467)</f>
        <v/>
      </c>
      <c r="F467" s="8" t="n"/>
      <c r="G467" s="8" t="n"/>
      <c r="H467" s="8" t="n"/>
      <c r="I467" s="8" t="n"/>
    </row>
    <row r="468">
      <c r="D468">
        <f t="array" ref="D468">IF(B468="","",IFERROR(INDEX(KeywordGroupRange,MATCH(TRUE,ISNUMBER(SEARCH(KeywordRange,B468&amp;" "&amp;C468)),0)),""))</f>
        <v/>
      </c>
      <c r="E468">
        <f>IF(B468="","",D468)</f>
        <v/>
      </c>
      <c r="F468" s="8" t="n"/>
      <c r="G468" s="8" t="n"/>
      <c r="H468" s="8" t="n"/>
      <c r="I468" s="8" t="n"/>
    </row>
    <row r="469">
      <c r="D469">
        <f t="array" ref="D469">IF(B469="","",IFERROR(INDEX(KeywordGroupRange,MATCH(TRUE,ISNUMBER(SEARCH(KeywordRange,B469&amp;" "&amp;C469)),0)),""))</f>
        <v/>
      </c>
      <c r="E469">
        <f>IF(B469="","",D469)</f>
        <v/>
      </c>
      <c r="F469" s="8" t="n"/>
      <c r="G469" s="8" t="n"/>
      <c r="H469" s="8" t="n"/>
      <c r="I469" s="8" t="n"/>
    </row>
    <row r="470">
      <c r="D470">
        <f t="array" ref="D470">IF(B470="","",IFERROR(INDEX(KeywordGroupRange,MATCH(TRUE,ISNUMBER(SEARCH(KeywordRange,B470&amp;" "&amp;C470)),0)),""))</f>
        <v/>
      </c>
      <c r="E470">
        <f>IF(B470="","",D470)</f>
        <v/>
      </c>
      <c r="F470" s="8" t="n"/>
      <c r="G470" s="8" t="n"/>
      <c r="H470" s="8" t="n"/>
      <c r="I470" s="8" t="n"/>
    </row>
    <row r="471">
      <c r="D471">
        <f t="array" ref="D471">IF(B471="","",IFERROR(INDEX(KeywordGroupRange,MATCH(TRUE,ISNUMBER(SEARCH(KeywordRange,B471&amp;" "&amp;C471)),0)),""))</f>
        <v/>
      </c>
      <c r="E471">
        <f>IF(B471="","",D471)</f>
        <v/>
      </c>
      <c r="F471" s="8" t="n"/>
      <c r="G471" s="8" t="n"/>
      <c r="H471" s="8" t="n"/>
      <c r="I471" s="8" t="n"/>
    </row>
    <row r="472">
      <c r="D472">
        <f t="array" ref="D472">IF(B472="","",IFERROR(INDEX(KeywordGroupRange,MATCH(TRUE,ISNUMBER(SEARCH(KeywordRange,B472&amp;" "&amp;C472)),0)),""))</f>
        <v/>
      </c>
      <c r="E472">
        <f>IF(B472="","",D472)</f>
        <v/>
      </c>
      <c r="F472" s="8" t="n"/>
      <c r="G472" s="8" t="n"/>
      <c r="H472" s="8" t="n"/>
      <c r="I472" s="8" t="n"/>
    </row>
    <row r="473">
      <c r="D473">
        <f t="array" ref="D473">IF(B473="","",IFERROR(INDEX(KeywordGroupRange,MATCH(TRUE,ISNUMBER(SEARCH(KeywordRange,B473&amp;" "&amp;C473)),0)),""))</f>
        <v/>
      </c>
      <c r="E473">
        <f>IF(B473="","",D473)</f>
        <v/>
      </c>
      <c r="F473" s="8" t="n"/>
      <c r="G473" s="8" t="n"/>
      <c r="H473" s="8" t="n"/>
      <c r="I473" s="8" t="n"/>
    </row>
    <row r="474">
      <c r="D474">
        <f t="array" ref="D474">IF(B474="","",IFERROR(INDEX(KeywordGroupRange,MATCH(TRUE,ISNUMBER(SEARCH(KeywordRange,B474&amp;" "&amp;C474)),0)),""))</f>
        <v/>
      </c>
      <c r="E474">
        <f>IF(B474="","",D474)</f>
        <v/>
      </c>
      <c r="F474" s="8" t="n"/>
      <c r="G474" s="8" t="n"/>
      <c r="H474" s="8" t="n"/>
      <c r="I474" s="8" t="n"/>
    </row>
    <row r="475">
      <c r="D475">
        <f t="array" ref="D475">IF(B475="","",IFERROR(INDEX(KeywordGroupRange,MATCH(TRUE,ISNUMBER(SEARCH(KeywordRange,B475&amp;" "&amp;C475)),0)),""))</f>
        <v/>
      </c>
      <c r="E475">
        <f>IF(B475="","",D475)</f>
        <v/>
      </c>
      <c r="F475" s="8" t="n"/>
      <c r="G475" s="8" t="n"/>
      <c r="H475" s="8" t="n"/>
      <c r="I475" s="8" t="n"/>
    </row>
    <row r="476">
      <c r="D476">
        <f t="array" ref="D476">IF(B476="","",IFERROR(INDEX(KeywordGroupRange,MATCH(TRUE,ISNUMBER(SEARCH(KeywordRange,B476&amp;" "&amp;C476)),0)),""))</f>
        <v/>
      </c>
      <c r="E476">
        <f>IF(B476="","",D476)</f>
        <v/>
      </c>
      <c r="F476" s="8" t="n"/>
      <c r="G476" s="8" t="n"/>
      <c r="H476" s="8" t="n"/>
      <c r="I476" s="8" t="n"/>
    </row>
    <row r="477">
      <c r="D477">
        <f t="array" ref="D477">IF(B477="","",IFERROR(INDEX(KeywordGroupRange,MATCH(TRUE,ISNUMBER(SEARCH(KeywordRange,B477&amp;" "&amp;C477)),0)),""))</f>
        <v/>
      </c>
      <c r="E477">
        <f>IF(B477="","",D477)</f>
        <v/>
      </c>
      <c r="F477" s="8" t="n"/>
      <c r="G477" s="8" t="n"/>
      <c r="H477" s="8" t="n"/>
      <c r="I477" s="8" t="n"/>
    </row>
    <row r="478">
      <c r="D478">
        <f t="array" ref="D478">IF(B478="","",IFERROR(INDEX(KeywordGroupRange,MATCH(TRUE,ISNUMBER(SEARCH(KeywordRange,B478&amp;" "&amp;C478)),0)),""))</f>
        <v/>
      </c>
      <c r="E478">
        <f>IF(B478="","",D478)</f>
        <v/>
      </c>
      <c r="F478" s="8" t="n"/>
      <c r="G478" s="8" t="n"/>
      <c r="H478" s="8" t="n"/>
      <c r="I478" s="8" t="n"/>
    </row>
    <row r="479">
      <c r="D479">
        <f t="array" ref="D479">IF(B479="","",IFERROR(INDEX(KeywordGroupRange,MATCH(TRUE,ISNUMBER(SEARCH(KeywordRange,B479&amp;" "&amp;C479)),0)),""))</f>
        <v/>
      </c>
      <c r="E479">
        <f>IF(B479="","",D479)</f>
        <v/>
      </c>
      <c r="F479" s="8" t="n"/>
      <c r="G479" s="8" t="n"/>
      <c r="H479" s="8" t="n"/>
      <c r="I479" s="8" t="n"/>
    </row>
    <row r="480">
      <c r="D480">
        <f t="array" ref="D480">IF(B480="","",IFERROR(INDEX(KeywordGroupRange,MATCH(TRUE,ISNUMBER(SEARCH(KeywordRange,B480&amp;" "&amp;C480)),0)),""))</f>
        <v/>
      </c>
      <c r="E480">
        <f>IF(B480="","",D480)</f>
        <v/>
      </c>
      <c r="F480" s="8" t="n"/>
      <c r="G480" s="8" t="n"/>
      <c r="H480" s="8" t="n"/>
      <c r="I480" s="8" t="n"/>
    </row>
    <row r="481">
      <c r="D481">
        <f t="array" ref="D481">IF(B481="","",IFERROR(INDEX(KeywordGroupRange,MATCH(TRUE,ISNUMBER(SEARCH(KeywordRange,B481&amp;" "&amp;C481)),0)),""))</f>
        <v/>
      </c>
      <c r="E481">
        <f>IF(B481="","",D481)</f>
        <v/>
      </c>
      <c r="F481" s="8" t="n"/>
      <c r="G481" s="8" t="n"/>
      <c r="H481" s="8" t="n"/>
      <c r="I481" s="8" t="n"/>
    </row>
    <row r="482">
      <c r="D482">
        <f t="array" ref="D482">IF(B482="","",IFERROR(INDEX(KeywordGroupRange,MATCH(TRUE,ISNUMBER(SEARCH(KeywordRange,B482&amp;" "&amp;C482)),0)),""))</f>
        <v/>
      </c>
      <c r="E482">
        <f>IF(B482="","",D482)</f>
        <v/>
      </c>
      <c r="F482" s="8" t="n"/>
      <c r="G482" s="8" t="n"/>
      <c r="H482" s="8" t="n"/>
      <c r="I482" s="8" t="n"/>
    </row>
    <row r="483">
      <c r="D483">
        <f t="array" ref="D483">IF(B483="","",IFERROR(INDEX(KeywordGroupRange,MATCH(TRUE,ISNUMBER(SEARCH(KeywordRange,B483&amp;" "&amp;C483)),0)),""))</f>
        <v/>
      </c>
      <c r="E483">
        <f>IF(B483="","",D483)</f>
        <v/>
      </c>
      <c r="F483" s="8" t="n"/>
      <c r="G483" s="8" t="n"/>
      <c r="H483" s="8" t="n"/>
      <c r="I483" s="8" t="n"/>
    </row>
    <row r="484">
      <c r="D484">
        <f t="array" ref="D484">IF(B484="","",IFERROR(INDEX(KeywordGroupRange,MATCH(TRUE,ISNUMBER(SEARCH(KeywordRange,B484&amp;" "&amp;C484)),0)),""))</f>
        <v/>
      </c>
      <c r="E484">
        <f>IF(B484="","",D484)</f>
        <v/>
      </c>
      <c r="F484" s="8" t="n"/>
      <c r="G484" s="8" t="n"/>
      <c r="H484" s="8" t="n"/>
      <c r="I484" s="8" t="n"/>
    </row>
    <row r="485">
      <c r="D485">
        <f t="array" ref="D485">IF(B485="","",IFERROR(INDEX(KeywordGroupRange,MATCH(TRUE,ISNUMBER(SEARCH(KeywordRange,B485&amp;" "&amp;C485)),0)),""))</f>
        <v/>
      </c>
      <c r="E485">
        <f>IF(B485="","",D485)</f>
        <v/>
      </c>
      <c r="F485" s="8" t="n"/>
      <c r="G485" s="8" t="n"/>
      <c r="H485" s="8" t="n"/>
      <c r="I485" s="8" t="n"/>
    </row>
    <row r="486">
      <c r="D486">
        <f t="array" ref="D486">IF(B486="","",IFERROR(INDEX(KeywordGroupRange,MATCH(TRUE,ISNUMBER(SEARCH(KeywordRange,B486&amp;" "&amp;C486)),0)),""))</f>
        <v/>
      </c>
      <c r="E486">
        <f>IF(B486="","",D486)</f>
        <v/>
      </c>
      <c r="F486" s="8" t="n"/>
      <c r="G486" s="8" t="n"/>
      <c r="H486" s="8" t="n"/>
      <c r="I486" s="8" t="n"/>
    </row>
    <row r="487">
      <c r="D487">
        <f t="array" ref="D487">IF(B487="","",IFERROR(INDEX(KeywordGroupRange,MATCH(TRUE,ISNUMBER(SEARCH(KeywordRange,B487&amp;" "&amp;C487)),0)),""))</f>
        <v/>
      </c>
      <c r="E487">
        <f>IF(B487="","",D487)</f>
        <v/>
      </c>
      <c r="F487" s="8" t="n"/>
      <c r="G487" s="8" t="n"/>
      <c r="H487" s="8" t="n"/>
      <c r="I487" s="8" t="n"/>
    </row>
    <row r="488">
      <c r="D488">
        <f t="array" ref="D488">IF(B488="","",IFERROR(INDEX(KeywordGroupRange,MATCH(TRUE,ISNUMBER(SEARCH(KeywordRange,B488&amp;" "&amp;C488)),0)),""))</f>
        <v/>
      </c>
      <c r="E488">
        <f>IF(B488="","",D488)</f>
        <v/>
      </c>
      <c r="F488" s="8" t="n"/>
      <c r="G488" s="8" t="n"/>
      <c r="H488" s="8" t="n"/>
      <c r="I488" s="8" t="n"/>
    </row>
    <row r="489">
      <c r="D489">
        <f t="array" ref="D489">IF(B489="","",IFERROR(INDEX(KeywordGroupRange,MATCH(TRUE,ISNUMBER(SEARCH(KeywordRange,B489&amp;" "&amp;C489)),0)),""))</f>
        <v/>
      </c>
      <c r="E489">
        <f>IF(B489="","",D489)</f>
        <v/>
      </c>
      <c r="F489" s="8" t="n"/>
      <c r="G489" s="8" t="n"/>
      <c r="H489" s="8" t="n"/>
      <c r="I489" s="8" t="n"/>
    </row>
    <row r="490">
      <c r="D490">
        <f t="array" ref="D490">IF(B490="","",IFERROR(INDEX(KeywordGroupRange,MATCH(TRUE,ISNUMBER(SEARCH(KeywordRange,B490&amp;" "&amp;C490)),0)),""))</f>
        <v/>
      </c>
      <c r="E490">
        <f>IF(B490="","",D490)</f>
        <v/>
      </c>
      <c r="F490" s="8" t="n"/>
      <c r="G490" s="8" t="n"/>
      <c r="H490" s="8" t="n"/>
      <c r="I490" s="8" t="n"/>
    </row>
    <row r="491">
      <c r="D491">
        <f t="array" ref="D491">IF(B491="","",IFERROR(INDEX(KeywordGroupRange,MATCH(TRUE,ISNUMBER(SEARCH(KeywordRange,B491&amp;" "&amp;C491)),0)),""))</f>
        <v/>
      </c>
      <c r="E491">
        <f>IF(B491="","",D491)</f>
        <v/>
      </c>
      <c r="F491" s="8" t="n"/>
      <c r="G491" s="8" t="n"/>
      <c r="H491" s="8" t="n"/>
      <c r="I491" s="8" t="n"/>
    </row>
    <row r="492">
      <c r="D492">
        <f t="array" ref="D492">IF(B492="","",IFERROR(INDEX(KeywordGroupRange,MATCH(TRUE,ISNUMBER(SEARCH(KeywordRange,B492&amp;" "&amp;C492)),0)),""))</f>
        <v/>
      </c>
      <c r="E492">
        <f>IF(B492="","",D492)</f>
        <v/>
      </c>
      <c r="F492" s="8" t="n"/>
      <c r="G492" s="8" t="n"/>
      <c r="H492" s="8" t="n"/>
      <c r="I492" s="8" t="n"/>
    </row>
    <row r="493">
      <c r="D493">
        <f t="array" ref="D493">IF(B493="","",IFERROR(INDEX(KeywordGroupRange,MATCH(TRUE,ISNUMBER(SEARCH(KeywordRange,B493&amp;" "&amp;C493)),0)),""))</f>
        <v/>
      </c>
      <c r="E493">
        <f>IF(B493="","",D493)</f>
        <v/>
      </c>
      <c r="F493" s="8" t="n"/>
      <c r="G493" s="8" t="n"/>
      <c r="H493" s="8" t="n"/>
      <c r="I493" s="8" t="n"/>
    </row>
    <row r="494">
      <c r="D494">
        <f t="array" ref="D494">IF(B494="","",IFERROR(INDEX(KeywordGroupRange,MATCH(TRUE,ISNUMBER(SEARCH(KeywordRange,B494&amp;" "&amp;C494)),0)),""))</f>
        <v/>
      </c>
      <c r="E494">
        <f>IF(B494="","",D494)</f>
        <v/>
      </c>
      <c r="F494" s="8" t="n"/>
      <c r="G494" s="8" t="n"/>
      <c r="H494" s="8" t="n"/>
      <c r="I494" s="8" t="n"/>
    </row>
    <row r="495">
      <c r="D495">
        <f t="array" ref="D495">IF(B495="","",IFERROR(INDEX(KeywordGroupRange,MATCH(TRUE,ISNUMBER(SEARCH(KeywordRange,B495&amp;" "&amp;C495)),0)),""))</f>
        <v/>
      </c>
      <c r="E495">
        <f>IF(B495="","",D495)</f>
        <v/>
      </c>
      <c r="F495" s="8" t="n"/>
      <c r="G495" s="8" t="n"/>
      <c r="H495" s="8" t="n"/>
      <c r="I495" s="8" t="n"/>
    </row>
    <row r="496">
      <c r="D496">
        <f t="array" ref="D496">IF(B496="","",IFERROR(INDEX(KeywordGroupRange,MATCH(TRUE,ISNUMBER(SEARCH(KeywordRange,B496&amp;" "&amp;C496)),0)),""))</f>
        <v/>
      </c>
      <c r="E496">
        <f>IF(B496="","",D496)</f>
        <v/>
      </c>
      <c r="F496" s="8" t="n"/>
      <c r="G496" s="8" t="n"/>
      <c r="H496" s="8" t="n"/>
      <c r="I496" s="8" t="n"/>
    </row>
    <row r="497">
      <c r="D497">
        <f t="array" ref="D497">IF(B497="","",IFERROR(INDEX(KeywordGroupRange,MATCH(TRUE,ISNUMBER(SEARCH(KeywordRange,B497&amp;" "&amp;C497)),0)),""))</f>
        <v/>
      </c>
      <c r="E497">
        <f>IF(B497="","",D497)</f>
        <v/>
      </c>
      <c r="F497" s="8" t="n"/>
      <c r="G497" s="8" t="n"/>
      <c r="H497" s="8" t="n"/>
      <c r="I497" s="8" t="n"/>
    </row>
    <row r="498">
      <c r="D498">
        <f t="array" ref="D498">IF(B498="","",IFERROR(INDEX(KeywordGroupRange,MATCH(TRUE,ISNUMBER(SEARCH(KeywordRange,B498&amp;" "&amp;C498)),0)),""))</f>
        <v/>
      </c>
      <c r="E498">
        <f>IF(B498="","",D498)</f>
        <v/>
      </c>
      <c r="F498" s="8" t="n"/>
      <c r="G498" s="8" t="n"/>
      <c r="H498" s="8" t="n"/>
      <c r="I498" s="8" t="n"/>
    </row>
    <row r="499">
      <c r="D499">
        <f t="array" ref="D499">IF(B499="","",IFERROR(INDEX(KeywordGroupRange,MATCH(TRUE,ISNUMBER(SEARCH(KeywordRange,B499&amp;" "&amp;C499)),0)),""))</f>
        <v/>
      </c>
      <c r="E499">
        <f>IF(B499="","",D499)</f>
        <v/>
      </c>
      <c r="F499" s="8" t="n"/>
      <c r="G499" s="8" t="n"/>
      <c r="H499" s="8" t="n"/>
      <c r="I499" s="8" t="n"/>
    </row>
    <row r="500">
      <c r="D500">
        <f t="array" ref="D500">IF(B500="","",IFERROR(INDEX(KeywordGroupRange,MATCH(TRUE,ISNUMBER(SEARCH(KeywordRange,B500&amp;" "&amp;C500)),0)),""))</f>
        <v/>
      </c>
      <c r="E500">
        <f>IF(B500="","",D500)</f>
        <v/>
      </c>
      <c r="F500" s="8" t="n"/>
      <c r="G500" s="8" t="n"/>
      <c r="H500" s="8" t="n"/>
      <c r="I500" s="8" t="n"/>
    </row>
    <row r="501">
      <c r="D501">
        <f t="array" ref="D501">IF(B501="","",IFERROR(INDEX(KeywordGroupRange,MATCH(TRUE,ISNUMBER(SEARCH(KeywordRange,B501&amp;" "&amp;C501)),0)),""))</f>
        <v/>
      </c>
      <c r="E501">
        <f>IF(B501="","",D501)</f>
        <v/>
      </c>
      <c r="F501" s="8" t="n"/>
      <c r="G501" s="8" t="n"/>
      <c r="H501" s="8" t="n"/>
      <c r="I501" s="8" t="n"/>
    </row>
    <row r="502">
      <c r="D502">
        <f t="array" ref="D502">IF(B502="","",IFERROR(INDEX(KeywordGroupRange,MATCH(TRUE,ISNUMBER(SEARCH(KeywordRange,B502&amp;" "&amp;C502)),0)),""))</f>
        <v/>
      </c>
      <c r="E502">
        <f>IF(B502="","",D502)</f>
        <v/>
      </c>
      <c r="F502" s="8" t="n"/>
      <c r="G502" s="8" t="n"/>
      <c r="H502" s="8" t="n"/>
      <c r="I502" s="8" t="n"/>
    </row>
    <row r="503">
      <c r="D503">
        <f t="array" ref="D503">IF(B503="","",IFERROR(INDEX(KeywordGroupRange,MATCH(TRUE,ISNUMBER(SEARCH(KeywordRange,B503&amp;" "&amp;C503)),0)),""))</f>
        <v/>
      </c>
      <c r="E503">
        <f>IF(B503="","",D503)</f>
        <v/>
      </c>
      <c r="F503" s="8" t="n"/>
      <c r="G503" s="8" t="n"/>
      <c r="H503" s="8" t="n"/>
      <c r="I503" s="8" t="n"/>
    </row>
    <row r="504">
      <c r="D504">
        <f t="array" ref="D504">IF(B504="","",IFERROR(INDEX(KeywordGroupRange,MATCH(TRUE,ISNUMBER(SEARCH(KeywordRange,B504&amp;" "&amp;C504)),0)),""))</f>
        <v/>
      </c>
      <c r="E504">
        <f>IF(B504="","",D504)</f>
        <v/>
      </c>
      <c r="F504" s="8" t="n"/>
      <c r="G504" s="8" t="n"/>
      <c r="H504" s="8" t="n"/>
      <c r="I504" s="8" t="n"/>
    </row>
    <row r="505">
      <c r="B505" s="1" t="inlineStr">
        <is>
          <t>TOTAL</t>
        </is>
      </c>
      <c r="F505" s="9">
        <f>SUM(F5:F504)</f>
        <v/>
      </c>
      <c r="G505" s="9">
        <f>SUM(G5:G504)</f>
        <v/>
      </c>
      <c r="H505" s="9">
        <f>SUM(H5:H504)</f>
        <v/>
      </c>
      <c r="I505" s="9">
        <f>SUM(I5:I504)</f>
        <v/>
      </c>
    </row>
    <row r="507">
      <c r="B507" t="inlineStr">
        <is>
          <t>CY Debit - CY Credit (informational; check the Balance Sheet tie-out check for classification errors)</t>
        </is>
      </c>
      <c r="F507" s="8">
        <f>F505-G505</f>
        <v/>
      </c>
    </row>
    <row r="508">
      <c r="B508" t="inlineStr">
        <is>
          <t>PY Debit - PY Credit (informational)</t>
        </is>
      </c>
      <c r="F508" s="8">
        <f>H505-I505</f>
        <v/>
      </c>
    </row>
  </sheetData>
  <conditionalFormatting sqref="B5:E504">
    <cfRule type="expression" priority="1" dxfId="0">
      <formula>AND($B5&lt;&gt;"",$E5="")</formula>
    </cfRule>
  </conditionalFormatting>
  <dataValidations count="1">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showDropDown="0" showInputMessage="0" showErrorMessage="0" allowBlank="1" type="list">
      <formula1>=GroupLabels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53"/>
  <sheetViews>
    <sheetView workbookViewId="0">
      <pane ySplit="4" topLeftCell="A5" activePane="bottomLeft" state="frozen"/>
      <selection pane="bottomLeft" activeCell="A1" sqref="A1"/>
    </sheetView>
  </sheetViews>
  <sheetFormatPr baseColWidth="8" defaultRowHeight="15" outlineLevelCol="0"/>
  <cols>
    <col width="3" customWidth="1" min="1" max="1"/>
    <col width="50" customWidth="1" min="2" max="2"/>
    <col width="8" customWidth="1" min="3" max="3"/>
    <col width="18" customWidth="1" min="4" max="4"/>
    <col width="18" customWidth="1" min="5" max="5"/>
  </cols>
  <sheetData>
    <row r="1">
      <c r="B1" s="2">
        <f>Home!$C$10</f>
        <v/>
      </c>
    </row>
    <row r="2">
      <c r="B2" s="1">
        <f>"Balance Sheet as at "&amp;TEXT(Home!$F$10,"DD MMMM YYYY")</f>
        <v/>
      </c>
    </row>
    <row r="3">
      <c r="B3" s="3">
        <f>"(Rs. in "&amp;Home!$F$12&amp;")"</f>
        <v/>
      </c>
    </row>
    <row r="5">
      <c r="B5" s="10" t="inlineStr">
        <is>
          <t>Particulars</t>
        </is>
      </c>
      <c r="C5" s="10" t="inlineStr">
        <is>
          <t>Note</t>
        </is>
      </c>
      <c r="D5" s="10">
        <f>TEXT(Home!$F$10,"DD MMM YYYY")</f>
        <v/>
      </c>
      <c r="E5" s="10">
        <f>TEXT(Home!$F$11,"DD MMM YYYY")</f>
        <v/>
      </c>
    </row>
    <row r="6">
      <c r="B6" s="1" t="inlineStr">
        <is>
          <t>I. EQUITY AND LIABILITIES</t>
        </is>
      </c>
    </row>
    <row r="7">
      <c r="B7" s="11" t="inlineStr">
        <is>
          <t>Owners' Fund</t>
        </is>
      </c>
    </row>
    <row r="8">
      <c r="B8">
        <f>Master!$B$2</f>
        <v/>
      </c>
      <c r="C8">
        <f>IFERROR(INDEX(Master!$I$2:$I$39,MATCH(Master!$B$2,Master!$B$2:$B$39,0)),"")</f>
        <v/>
      </c>
      <c r="D8" s="8">
        <f>(SUMIFS(TB!$G$5:$G$504,TB!$E$5:$E$504,Master!$B$2)-SUMIFS(TB!$F$5:$F$504,TB!$E$5:$E$504,Master!$B$2))/RoundingFactor</f>
        <v/>
      </c>
      <c r="E8" s="8">
        <f>(SUMIFS(TB!$I$5:$I$504,TB!$E$5:$E$504,Master!$B$2)-SUMIFS(TB!$H$5:$H$504,TB!$E$5:$E$504,Master!$B$2))/RoundingFactor</f>
        <v/>
      </c>
    </row>
    <row r="9">
      <c r="B9">
        <f>Master!$B$3</f>
        <v/>
      </c>
      <c r="C9">
        <f>IFERROR(INDEX(Master!$I$2:$I$39,MATCH(Master!$B$3,Master!$B$2:$B$39,0)),"")</f>
        <v/>
      </c>
      <c r="D9" s="8">
        <f>(SUMIFS(TB!$G$5:$G$504,TB!$E$5:$E$504,Master!$B$3)-SUMIFS(TB!$F$5:$F$504,TB!$E$5:$E$504,Master!$B$3))/RoundingFactor</f>
        <v/>
      </c>
      <c r="E9" s="8">
        <f>(SUMIFS(TB!$I$5:$I$504,TB!$E$5:$E$504,Master!$B$3)-SUMIFS(TB!$H$5:$H$504,TB!$E$5:$E$504,Master!$B$3))/RoundingFactor</f>
        <v/>
      </c>
    </row>
    <row r="10">
      <c r="B10" s="1" t="inlineStr">
        <is>
          <t>Total Owners' Fund</t>
        </is>
      </c>
      <c r="D10" s="9">
        <f>SUM(D8:D9)</f>
        <v/>
      </c>
      <c r="E10" s="9">
        <f>SUM(E8:E9)</f>
        <v/>
      </c>
    </row>
    <row r="12">
      <c r="B12" s="11" t="inlineStr">
        <is>
          <t>Non-current liabilities</t>
        </is>
      </c>
    </row>
    <row r="13">
      <c r="B13">
        <f>Master!$B$4</f>
        <v/>
      </c>
      <c r="C13">
        <f>IFERROR(INDEX(Master!$I$2:$I$39,MATCH(Master!$B$4,Master!$B$2:$B$39,0)),"")</f>
        <v/>
      </c>
      <c r="D13" s="8">
        <f>(SUMIFS(TB!$G$5:$G$504,TB!$E$5:$E$504,Master!$B$4)-SUMIFS(TB!$F$5:$F$504,TB!$E$5:$E$504,Master!$B$4))/RoundingFactor</f>
        <v/>
      </c>
      <c r="E13" s="8">
        <f>(SUMIFS(TB!$I$5:$I$504,TB!$E$5:$E$504,Master!$B$4)-SUMIFS(TB!$H$5:$H$504,TB!$E$5:$E$504,Master!$B$4))/RoundingFactor</f>
        <v/>
      </c>
    </row>
    <row r="14">
      <c r="B14">
        <f>Master!$B$5</f>
        <v/>
      </c>
      <c r="C14">
        <f>IFERROR(INDEX(Master!$I$2:$I$39,MATCH(Master!$B$5,Master!$B$2:$B$39,0)),"")</f>
        <v/>
      </c>
      <c r="D14" s="8">
        <f>(SUMIFS(TB!$G$5:$G$504,TB!$E$5:$E$504,Master!$B$5)-SUMIFS(TB!$F$5:$F$504,TB!$E$5:$E$504,Master!$B$5))/RoundingFactor</f>
        <v/>
      </c>
      <c r="E14" s="8">
        <f>(SUMIFS(TB!$I$5:$I$504,TB!$E$5:$E$504,Master!$B$5)-SUMIFS(TB!$H$5:$H$504,TB!$E$5:$E$504,Master!$B$5))/RoundingFactor</f>
        <v/>
      </c>
    </row>
    <row r="15">
      <c r="B15">
        <f>Master!$B$6</f>
        <v/>
      </c>
      <c r="C15">
        <f>IFERROR(INDEX(Master!$I$2:$I$39,MATCH(Master!$B$6,Master!$B$2:$B$39,0)),"")</f>
        <v/>
      </c>
      <c r="D15" s="8">
        <f>(SUMIFS(TB!$G$5:$G$504,TB!$E$5:$E$504,Master!$B$6)-SUMIFS(TB!$F$5:$F$504,TB!$E$5:$E$504,Master!$B$6))/RoundingFactor</f>
        <v/>
      </c>
      <c r="E15" s="8">
        <f>(SUMIFS(TB!$I$5:$I$504,TB!$E$5:$E$504,Master!$B$6)-SUMIFS(TB!$H$5:$H$504,TB!$E$5:$E$504,Master!$B$6))/RoundingFactor</f>
        <v/>
      </c>
    </row>
    <row r="16">
      <c r="B16">
        <f>Master!$B$7</f>
        <v/>
      </c>
      <c r="C16">
        <f>IFERROR(INDEX(Master!$I$2:$I$39,MATCH(Master!$B$7,Master!$B$2:$B$39,0)),"")</f>
        <v/>
      </c>
      <c r="D16" s="8">
        <f>(SUMIFS(TB!$G$5:$G$504,TB!$E$5:$E$504,Master!$B$7)-SUMIFS(TB!$F$5:$F$504,TB!$E$5:$E$504,Master!$B$7))/RoundingFactor</f>
        <v/>
      </c>
      <c r="E16" s="8">
        <f>(SUMIFS(TB!$I$5:$I$504,TB!$E$5:$E$504,Master!$B$7)-SUMIFS(TB!$H$5:$H$504,TB!$E$5:$E$504,Master!$B$7))/RoundingFactor</f>
        <v/>
      </c>
    </row>
    <row r="17">
      <c r="B17" s="1" t="inlineStr">
        <is>
          <t>Total Non-current liabilities</t>
        </is>
      </c>
      <c r="D17" s="9">
        <f>SUM(D13:D16)</f>
        <v/>
      </c>
      <c r="E17" s="9">
        <f>SUM(E13:E16)</f>
        <v/>
      </c>
    </row>
    <row r="19">
      <c r="B19" s="11" t="inlineStr">
        <is>
          <t>Current liabilities</t>
        </is>
      </c>
    </row>
    <row r="20">
      <c r="B20">
        <f>Master!$B$8</f>
        <v/>
      </c>
      <c r="C20">
        <f>IFERROR(INDEX(Master!$I$2:$I$39,MATCH(Master!$B$8,Master!$B$2:$B$39,0)),"")</f>
        <v/>
      </c>
      <c r="D20" s="8">
        <f>(SUMIFS(TB!$G$5:$G$504,TB!$E$5:$E$504,Master!$B$8)-SUMIFS(TB!$F$5:$F$504,TB!$E$5:$E$504,Master!$B$8))/RoundingFactor</f>
        <v/>
      </c>
      <c r="E20" s="8">
        <f>(SUMIFS(TB!$I$5:$I$504,TB!$E$5:$E$504,Master!$B$8)-SUMIFS(TB!$H$5:$H$504,TB!$E$5:$E$504,Master!$B$8))/RoundingFactor</f>
        <v/>
      </c>
    </row>
    <row r="21">
      <c r="B21">
        <f>Master!$B$9</f>
        <v/>
      </c>
      <c r="C21">
        <f>IFERROR(INDEX(Master!$I$2:$I$39,MATCH(Master!$B$9,Master!$B$2:$B$39,0)),"")</f>
        <v/>
      </c>
      <c r="D21" s="8">
        <f>(SUMIFS(TB!$G$5:$G$504,TB!$E$5:$E$504,Master!$B$9)-SUMIFS(TB!$F$5:$F$504,TB!$E$5:$E$504,Master!$B$9))/RoundingFactor</f>
        <v/>
      </c>
      <c r="E21" s="8">
        <f>(SUMIFS(TB!$I$5:$I$504,TB!$E$5:$E$504,Master!$B$9)-SUMIFS(TB!$H$5:$H$504,TB!$E$5:$E$504,Master!$B$9))/RoundingFactor</f>
        <v/>
      </c>
    </row>
    <row r="22">
      <c r="B22">
        <f>Master!$B$10</f>
        <v/>
      </c>
      <c r="C22">
        <f>IFERROR(INDEX(Master!$I$2:$I$39,MATCH(Master!$B$10,Master!$B$2:$B$39,0)),"")</f>
        <v/>
      </c>
      <c r="D22" s="8">
        <f>(SUMIFS(TB!$G$5:$G$504,TB!$E$5:$E$504,Master!$B$10)-SUMIFS(TB!$F$5:$F$504,TB!$E$5:$E$504,Master!$B$10))/RoundingFactor</f>
        <v/>
      </c>
      <c r="E22" s="8">
        <f>(SUMIFS(TB!$I$5:$I$504,TB!$E$5:$E$504,Master!$B$10)-SUMIFS(TB!$H$5:$H$504,TB!$E$5:$E$504,Master!$B$10))/RoundingFactor</f>
        <v/>
      </c>
    </row>
    <row r="23">
      <c r="B23">
        <f>Master!$B$11</f>
        <v/>
      </c>
      <c r="C23">
        <f>IFERROR(INDEX(Master!$I$2:$I$39,MATCH(Master!$B$11,Master!$B$2:$B$39,0)),"")</f>
        <v/>
      </c>
      <c r="D23" s="8">
        <f>(SUMIFS(TB!$G$5:$G$504,TB!$E$5:$E$504,Master!$B$11)-SUMIFS(TB!$F$5:$F$504,TB!$E$5:$E$504,Master!$B$11))/RoundingFactor</f>
        <v/>
      </c>
      <c r="E23" s="8">
        <f>(SUMIFS(TB!$I$5:$I$504,TB!$E$5:$E$504,Master!$B$11)-SUMIFS(TB!$H$5:$H$504,TB!$E$5:$E$504,Master!$B$11))/RoundingFactor</f>
        <v/>
      </c>
    </row>
    <row r="24">
      <c r="B24">
        <f>Master!$B$12</f>
        <v/>
      </c>
      <c r="C24">
        <f>IFERROR(INDEX(Master!$I$2:$I$39,MATCH(Master!$B$12,Master!$B$2:$B$39,0)),"")</f>
        <v/>
      </c>
      <c r="D24" s="8">
        <f>(SUMIFS(TB!$G$5:$G$504,TB!$E$5:$E$504,Master!$B$12)-SUMIFS(TB!$F$5:$F$504,TB!$E$5:$E$504,Master!$B$12))/RoundingFactor</f>
        <v/>
      </c>
      <c r="E24" s="8">
        <f>(SUMIFS(TB!$I$5:$I$504,TB!$E$5:$E$504,Master!$B$12)-SUMIFS(TB!$H$5:$H$504,TB!$E$5:$E$504,Master!$B$12))/RoundingFactor</f>
        <v/>
      </c>
    </row>
    <row r="25">
      <c r="B25" s="1" t="inlineStr">
        <is>
          <t>Total Current liabilities</t>
        </is>
      </c>
      <c r="D25" s="9">
        <f>SUM(D20:D24)</f>
        <v/>
      </c>
      <c r="E25" s="9">
        <f>SUM(E20:E24)</f>
        <v/>
      </c>
    </row>
    <row r="27">
      <c r="B27" s="1" t="inlineStr">
        <is>
          <t>TOTAL EQUITY AND LIABILITIES</t>
        </is>
      </c>
      <c r="D27" s="9">
        <f>D10+D17+D25</f>
        <v/>
      </c>
      <c r="E27" s="9">
        <f>E10+E17+E25</f>
        <v/>
      </c>
    </row>
    <row r="29">
      <c r="B29" s="1" t="inlineStr">
        <is>
          <t>II. ASSETS</t>
        </is>
      </c>
    </row>
    <row r="30">
      <c r="B30" s="11" t="inlineStr">
        <is>
          <t>Non-current assets</t>
        </is>
      </c>
    </row>
    <row r="31">
      <c r="B31">
        <f>Master!$B$13</f>
        <v/>
      </c>
      <c r="C31">
        <f>IFERROR(INDEX(Master!$I$2:$I$39,MATCH(Master!$B$13,Master!$B$2:$B$39,0)),"")</f>
        <v/>
      </c>
      <c r="D31" s="8">
        <f>(SUMIFS(TB!$F$5:$F$504,TB!$E$5:$E$504,Master!$B$13)-SUMIFS(TB!$G$5:$G$504,TB!$E$5:$E$504,Master!$B$13))/RoundingFactor</f>
        <v/>
      </c>
      <c r="E31" s="8">
        <f>(SUMIFS(TB!$H$5:$H$504,TB!$E$5:$E$504,Master!$B$13)-SUMIFS(TB!$I$5:$I$504,TB!$E$5:$E$504,Master!$B$13))/RoundingFactor</f>
        <v/>
      </c>
    </row>
    <row r="32">
      <c r="B32">
        <f>Master!$B$14</f>
        <v/>
      </c>
      <c r="C32">
        <f>IFERROR(INDEX(Master!$I$2:$I$39,MATCH(Master!$B$14,Master!$B$2:$B$39,0)),"")</f>
        <v/>
      </c>
      <c r="D32" s="8">
        <f>(SUMIFS(TB!$F$5:$F$504,TB!$E$5:$E$504,Master!$B$14)-SUMIFS(TB!$G$5:$G$504,TB!$E$5:$E$504,Master!$B$14))/RoundingFactor</f>
        <v/>
      </c>
      <c r="E32" s="8">
        <f>(SUMIFS(TB!$H$5:$H$504,TB!$E$5:$E$504,Master!$B$14)-SUMIFS(TB!$I$5:$I$504,TB!$E$5:$E$504,Master!$B$14))/RoundingFactor</f>
        <v/>
      </c>
    </row>
    <row r="33">
      <c r="B33">
        <f>Master!$B$15</f>
        <v/>
      </c>
      <c r="C33">
        <f>IFERROR(INDEX(Master!$I$2:$I$39,MATCH(Master!$B$15,Master!$B$2:$B$39,0)),"")</f>
        <v/>
      </c>
      <c r="D33" s="8">
        <f>(SUMIFS(TB!$F$5:$F$504,TB!$E$5:$E$504,Master!$B$15)-SUMIFS(TB!$G$5:$G$504,TB!$E$5:$E$504,Master!$B$15))/RoundingFactor</f>
        <v/>
      </c>
      <c r="E33" s="8">
        <f>(SUMIFS(TB!$H$5:$H$504,TB!$E$5:$E$504,Master!$B$15)-SUMIFS(TB!$I$5:$I$504,TB!$E$5:$E$504,Master!$B$15))/RoundingFactor</f>
        <v/>
      </c>
    </row>
    <row r="34">
      <c r="B34">
        <f>Master!$B$16</f>
        <v/>
      </c>
      <c r="C34">
        <f>IFERROR(INDEX(Master!$I$2:$I$39,MATCH(Master!$B$16,Master!$B$2:$B$39,0)),"")</f>
        <v/>
      </c>
      <c r="D34" s="8">
        <f>(SUMIFS(TB!$F$5:$F$504,TB!$E$5:$E$504,Master!$B$16)-SUMIFS(TB!$G$5:$G$504,TB!$E$5:$E$504,Master!$B$16))/RoundingFactor</f>
        <v/>
      </c>
      <c r="E34" s="8">
        <f>(SUMIFS(TB!$H$5:$H$504,TB!$E$5:$E$504,Master!$B$16)-SUMIFS(TB!$I$5:$I$504,TB!$E$5:$E$504,Master!$B$16))/RoundingFactor</f>
        <v/>
      </c>
    </row>
    <row r="35">
      <c r="B35">
        <f>Master!$B$17</f>
        <v/>
      </c>
      <c r="C35">
        <f>IFERROR(INDEX(Master!$I$2:$I$39,MATCH(Master!$B$17,Master!$B$2:$B$39,0)),"")</f>
        <v/>
      </c>
      <c r="D35" s="8">
        <f>(SUMIFS(TB!$F$5:$F$504,TB!$E$5:$E$504,Master!$B$17)-SUMIFS(TB!$G$5:$G$504,TB!$E$5:$E$504,Master!$B$17))/RoundingFactor</f>
        <v/>
      </c>
      <c r="E35" s="8">
        <f>(SUMIFS(TB!$H$5:$H$504,TB!$E$5:$E$504,Master!$B$17)-SUMIFS(TB!$I$5:$I$504,TB!$E$5:$E$504,Master!$B$17))/RoundingFactor</f>
        <v/>
      </c>
    </row>
    <row r="36">
      <c r="B36">
        <f>Master!$B$18</f>
        <v/>
      </c>
      <c r="C36">
        <f>IFERROR(INDEX(Master!$I$2:$I$39,MATCH(Master!$B$18,Master!$B$2:$B$39,0)),"")</f>
        <v/>
      </c>
      <c r="D36" s="8">
        <f>(SUMIFS(TB!$F$5:$F$504,TB!$E$5:$E$504,Master!$B$18)-SUMIFS(TB!$G$5:$G$504,TB!$E$5:$E$504,Master!$B$18))/RoundingFactor</f>
        <v/>
      </c>
      <c r="E36" s="8">
        <f>(SUMIFS(TB!$H$5:$H$504,TB!$E$5:$E$504,Master!$B$18)-SUMIFS(TB!$I$5:$I$504,TB!$E$5:$E$504,Master!$B$18))/RoundingFactor</f>
        <v/>
      </c>
    </row>
    <row r="37">
      <c r="B37">
        <f>Master!$B$19</f>
        <v/>
      </c>
      <c r="C37">
        <f>IFERROR(INDEX(Master!$I$2:$I$39,MATCH(Master!$B$19,Master!$B$2:$B$39,0)),"")</f>
        <v/>
      </c>
      <c r="D37" s="8">
        <f>(SUMIFS(TB!$F$5:$F$504,TB!$E$5:$E$504,Master!$B$19)-SUMIFS(TB!$G$5:$G$504,TB!$E$5:$E$504,Master!$B$19))/RoundingFactor</f>
        <v/>
      </c>
      <c r="E37" s="8">
        <f>(SUMIFS(TB!$H$5:$H$504,TB!$E$5:$E$504,Master!$B$19)-SUMIFS(TB!$I$5:$I$504,TB!$E$5:$E$504,Master!$B$19))/RoundingFactor</f>
        <v/>
      </c>
    </row>
    <row r="38">
      <c r="B38">
        <f>Master!$B$20</f>
        <v/>
      </c>
      <c r="C38">
        <f>IFERROR(INDEX(Master!$I$2:$I$39,MATCH(Master!$B$20,Master!$B$2:$B$39,0)),"")</f>
        <v/>
      </c>
      <c r="D38" s="8">
        <f>(SUMIFS(TB!$F$5:$F$504,TB!$E$5:$E$504,Master!$B$20)-SUMIFS(TB!$G$5:$G$504,TB!$E$5:$E$504,Master!$B$20))/RoundingFactor</f>
        <v/>
      </c>
      <c r="E38" s="8">
        <f>(SUMIFS(TB!$H$5:$H$504,TB!$E$5:$E$504,Master!$B$20)-SUMIFS(TB!$I$5:$I$504,TB!$E$5:$E$504,Master!$B$20))/RoundingFactor</f>
        <v/>
      </c>
    </row>
    <row r="39">
      <c r="B39">
        <f>Master!$B$21</f>
        <v/>
      </c>
      <c r="C39">
        <f>IFERROR(INDEX(Master!$I$2:$I$39,MATCH(Master!$B$21,Master!$B$2:$B$39,0)),"")</f>
        <v/>
      </c>
      <c r="D39" s="8">
        <f>(SUMIFS(TB!$F$5:$F$504,TB!$E$5:$E$504,Master!$B$21)-SUMIFS(TB!$G$5:$G$504,TB!$E$5:$E$504,Master!$B$21))/RoundingFactor</f>
        <v/>
      </c>
      <c r="E39" s="8">
        <f>(SUMIFS(TB!$H$5:$H$504,TB!$E$5:$E$504,Master!$B$21)-SUMIFS(TB!$I$5:$I$504,TB!$E$5:$E$504,Master!$B$21))/RoundingFactor</f>
        <v/>
      </c>
    </row>
    <row r="40">
      <c r="B40" s="1" t="inlineStr">
        <is>
          <t>Total Non-current assets</t>
        </is>
      </c>
      <c r="D40" s="9">
        <f>SUM(D31:D39)</f>
        <v/>
      </c>
      <c r="E40" s="9">
        <f>SUM(E31:E39)</f>
        <v/>
      </c>
    </row>
    <row r="42">
      <c r="B42" s="11" t="inlineStr">
        <is>
          <t>Current assets</t>
        </is>
      </c>
    </row>
    <row r="43">
      <c r="B43">
        <f>Master!$B$22</f>
        <v/>
      </c>
      <c r="C43">
        <f>IFERROR(INDEX(Master!$I$2:$I$39,MATCH(Master!$B$22,Master!$B$2:$B$39,0)),"")</f>
        <v/>
      </c>
      <c r="D43" s="8">
        <f>(SUMIFS(TB!$F$5:$F$504,TB!$E$5:$E$504,Master!$B$22)-SUMIFS(TB!$G$5:$G$504,TB!$E$5:$E$504,Master!$B$22))/RoundingFactor</f>
        <v/>
      </c>
      <c r="E43" s="8">
        <f>(SUMIFS(TB!$H$5:$H$504,TB!$E$5:$E$504,Master!$B$22)-SUMIFS(TB!$I$5:$I$504,TB!$E$5:$E$504,Master!$B$22))/RoundingFactor</f>
        <v/>
      </c>
    </row>
    <row r="44">
      <c r="B44">
        <f>Master!$B$23</f>
        <v/>
      </c>
      <c r="C44">
        <f>IFERROR(INDEX(Master!$I$2:$I$39,MATCH(Master!$B$23,Master!$B$2:$B$39,0)),"")</f>
        <v/>
      </c>
      <c r="D44" s="8">
        <f>(SUMIFS(TB!$F$5:$F$504,TB!$E$5:$E$504,Master!$B$23)-SUMIFS(TB!$G$5:$G$504,TB!$E$5:$E$504,Master!$B$23))/RoundingFactor</f>
        <v/>
      </c>
      <c r="E44" s="8">
        <f>(SUMIFS(TB!$H$5:$H$504,TB!$E$5:$E$504,Master!$B$23)-SUMIFS(TB!$I$5:$I$504,TB!$E$5:$E$504,Master!$B$23))/RoundingFactor</f>
        <v/>
      </c>
    </row>
    <row r="45">
      <c r="B45">
        <f>Master!$B$24</f>
        <v/>
      </c>
      <c r="C45">
        <f>IFERROR(INDEX(Master!$I$2:$I$39,MATCH(Master!$B$24,Master!$B$2:$B$39,0)),"")</f>
        <v/>
      </c>
      <c r="D45" s="8">
        <f>(SUMIFS(TB!$F$5:$F$504,TB!$E$5:$E$504,Master!$B$24)-SUMIFS(TB!$G$5:$G$504,TB!$E$5:$E$504,Master!$B$24))/RoundingFactor</f>
        <v/>
      </c>
      <c r="E45" s="8">
        <f>(SUMIFS(TB!$H$5:$H$504,TB!$E$5:$E$504,Master!$B$24)-SUMIFS(TB!$I$5:$I$504,TB!$E$5:$E$504,Master!$B$24))/RoundingFactor</f>
        <v/>
      </c>
    </row>
    <row r="46">
      <c r="B46">
        <f>Master!$B$25</f>
        <v/>
      </c>
      <c r="C46">
        <f>IFERROR(INDEX(Master!$I$2:$I$39,MATCH(Master!$B$25,Master!$B$2:$B$39,0)),"")</f>
        <v/>
      </c>
      <c r="D46" s="8">
        <f>(SUMIFS(TB!$F$5:$F$504,TB!$E$5:$E$504,Master!$B$25)-SUMIFS(TB!$G$5:$G$504,TB!$E$5:$E$504,Master!$B$25))/RoundingFactor</f>
        <v/>
      </c>
      <c r="E46" s="8">
        <f>(SUMIFS(TB!$H$5:$H$504,TB!$E$5:$E$504,Master!$B$25)-SUMIFS(TB!$I$5:$I$504,TB!$E$5:$E$504,Master!$B$25))/RoundingFactor</f>
        <v/>
      </c>
    </row>
    <row r="47">
      <c r="B47">
        <f>Master!$B$26</f>
        <v/>
      </c>
      <c r="C47">
        <f>IFERROR(INDEX(Master!$I$2:$I$39,MATCH(Master!$B$26,Master!$B$2:$B$39,0)),"")</f>
        <v/>
      </c>
      <c r="D47" s="8">
        <f>(SUMIFS(TB!$F$5:$F$504,TB!$E$5:$E$504,Master!$B$26)-SUMIFS(TB!$G$5:$G$504,TB!$E$5:$E$504,Master!$B$26))/RoundingFactor</f>
        <v/>
      </c>
      <c r="E47" s="8">
        <f>(SUMIFS(TB!$H$5:$H$504,TB!$E$5:$E$504,Master!$B$26)-SUMIFS(TB!$I$5:$I$504,TB!$E$5:$E$504,Master!$B$26))/RoundingFactor</f>
        <v/>
      </c>
    </row>
    <row r="48">
      <c r="B48">
        <f>Master!$B$27</f>
        <v/>
      </c>
      <c r="C48">
        <f>IFERROR(INDEX(Master!$I$2:$I$39,MATCH(Master!$B$27,Master!$B$2:$B$39,0)),"")</f>
        <v/>
      </c>
      <c r="D48" s="8">
        <f>(SUMIFS(TB!$F$5:$F$504,TB!$E$5:$E$504,Master!$B$27)-SUMIFS(TB!$G$5:$G$504,TB!$E$5:$E$504,Master!$B$27))/RoundingFactor</f>
        <v/>
      </c>
      <c r="E48" s="8">
        <f>(SUMIFS(TB!$H$5:$H$504,TB!$E$5:$E$504,Master!$B$27)-SUMIFS(TB!$I$5:$I$504,TB!$E$5:$E$504,Master!$B$27))/RoundingFactor</f>
        <v/>
      </c>
    </row>
    <row r="49">
      <c r="B49" s="1" t="inlineStr">
        <is>
          <t>Total Current assets</t>
        </is>
      </c>
      <c r="D49" s="9">
        <f>SUM(D43:D48)</f>
        <v/>
      </c>
      <c r="E49" s="9">
        <f>SUM(E43:E48)</f>
        <v/>
      </c>
    </row>
    <row r="51">
      <c r="B51" s="1" t="inlineStr">
        <is>
          <t>TOTAL ASSETS</t>
        </is>
      </c>
      <c r="D51" s="9">
        <f>D40+D49</f>
        <v/>
      </c>
      <c r="E51" s="9">
        <f>E40+E49</f>
        <v/>
      </c>
    </row>
    <row r="53">
      <c r="B53" s="12" t="inlineStr">
        <is>
          <t>Tie-out check (Total Equity &amp; Liabilities - Total Assets)</t>
        </is>
      </c>
      <c r="D53" s="8">
        <f>D27-D51</f>
        <v/>
      </c>
      <c r="E53" s="8">
        <f>E27-E51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29"/>
  <sheetViews>
    <sheetView workbookViewId="0">
      <pane ySplit="4" topLeftCell="A5" activePane="bottomLeft" state="frozen"/>
      <selection pane="bottomLeft" activeCell="A1" sqref="A1"/>
    </sheetView>
  </sheetViews>
  <sheetFormatPr baseColWidth="8" defaultRowHeight="15" outlineLevelCol="0"/>
  <cols>
    <col width="3" customWidth="1" min="1" max="1"/>
    <col width="50" customWidth="1" min="2" max="2"/>
    <col width="8" customWidth="1" min="3" max="3"/>
    <col width="18" customWidth="1" min="4" max="4"/>
    <col width="18" customWidth="1" min="5" max="5"/>
  </cols>
  <sheetData>
    <row r="1">
      <c r="B1" s="2">
        <f>Home!$C$10</f>
        <v/>
      </c>
    </row>
    <row r="2">
      <c r="B2" s="1">
        <f>"Statement of Profit and Loss for the year ended "&amp;TEXT(Home!$F$10,"DD MMMM YYYY")</f>
        <v/>
      </c>
    </row>
    <row r="3">
      <c r="B3" s="3">
        <f>"(Rs. in "&amp;Home!$F$12&amp;")"</f>
        <v/>
      </c>
    </row>
    <row r="5">
      <c r="B5" s="10" t="inlineStr">
        <is>
          <t>Particulars</t>
        </is>
      </c>
      <c r="C5" s="10" t="inlineStr">
        <is>
          <t>Note</t>
        </is>
      </c>
      <c r="D5" s="10">
        <f>TEXT(Home!$F$10,"DD MMM YYYY")</f>
        <v/>
      </c>
      <c r="E5" s="10">
        <f>TEXT(Home!$F$11,"DD MMM YYYY")</f>
        <v/>
      </c>
    </row>
    <row r="6">
      <c r="B6" s="1" t="inlineStr">
        <is>
          <t>INCOME</t>
        </is>
      </c>
    </row>
    <row r="7">
      <c r="B7">
        <f>Master!$B$28</f>
        <v/>
      </c>
      <c r="C7">
        <f>IFERROR(INDEX(Master!$I$2:$I$39,MATCH(Master!$B$28,Master!$B$2:$B$39,0)),"")</f>
        <v/>
      </c>
      <c r="D7" s="8">
        <f>(SUMIFS(TB!$G$5:$G$504,TB!$E$5:$E$504,Master!$B$28)-SUMIFS(TB!$F$5:$F$504,TB!$E$5:$E$504,Master!$B$28))/RoundingFactor</f>
        <v/>
      </c>
      <c r="E7" s="8">
        <f>(SUMIFS(TB!$I$5:$I$504,TB!$E$5:$E$504,Master!$B$28)-SUMIFS(TB!$H$5:$H$504,TB!$E$5:$E$504,Master!$B$28))/RoundingFactor</f>
        <v/>
      </c>
    </row>
    <row r="8">
      <c r="B8">
        <f>Master!$B$29</f>
        <v/>
      </c>
      <c r="C8">
        <f>IFERROR(INDEX(Master!$I$2:$I$39,MATCH(Master!$B$29,Master!$B$2:$B$39,0)),"")</f>
        <v/>
      </c>
      <c r="D8" s="8">
        <f>(SUMIFS(TB!$G$5:$G$504,TB!$E$5:$E$504,Master!$B$29)-SUMIFS(TB!$F$5:$F$504,TB!$E$5:$E$504,Master!$B$29))/RoundingFactor</f>
        <v/>
      </c>
      <c r="E8" s="8">
        <f>(SUMIFS(TB!$I$5:$I$504,TB!$E$5:$E$504,Master!$B$29)-SUMIFS(TB!$H$5:$H$504,TB!$E$5:$E$504,Master!$B$29))/RoundingFactor</f>
        <v/>
      </c>
    </row>
    <row r="9">
      <c r="B9" s="1" t="inlineStr">
        <is>
          <t>Total Income</t>
        </is>
      </c>
      <c r="D9" s="9">
        <f>SUM(D7:D8)</f>
        <v/>
      </c>
      <c r="E9" s="9">
        <f>SUM(E7:E8)</f>
        <v/>
      </c>
    </row>
    <row r="11">
      <c r="B11" s="1" t="inlineStr">
        <is>
          <t>EXPENSES</t>
        </is>
      </c>
    </row>
    <row r="12">
      <c r="B12">
        <f>Master!$B$30</f>
        <v/>
      </c>
      <c r="C12">
        <f>IFERROR(INDEX(Master!$I$2:$I$39,MATCH(Master!$B$30,Master!$B$2:$B$39,0)),"")</f>
        <v/>
      </c>
      <c r="D12" s="8">
        <f>(SUMIFS(TB!$F$5:$F$504,TB!$E$5:$E$504,Master!$B$30)-SUMIFS(TB!$G$5:$G$504,TB!$E$5:$E$504,Master!$B$30))/RoundingFactor</f>
        <v/>
      </c>
      <c r="E12" s="8">
        <f>(SUMIFS(TB!$H$5:$H$504,TB!$E$5:$E$504,Master!$B$30)-SUMIFS(TB!$I$5:$I$504,TB!$E$5:$E$504,Master!$B$30))/RoundingFactor</f>
        <v/>
      </c>
    </row>
    <row r="13">
      <c r="B13">
        <f>Master!$B$31</f>
        <v/>
      </c>
      <c r="C13">
        <f>IFERROR(INDEX(Master!$I$2:$I$39,MATCH(Master!$B$31,Master!$B$2:$B$39,0)),"")</f>
        <v/>
      </c>
      <c r="D13" s="8">
        <f>(SUMIFS(TB!$F$5:$F$504,TB!$E$5:$E$504,Master!$B$31)-SUMIFS(TB!$G$5:$G$504,TB!$E$5:$E$504,Master!$B$31))/RoundingFactor</f>
        <v/>
      </c>
      <c r="E13" s="8">
        <f>(SUMIFS(TB!$H$5:$H$504,TB!$E$5:$E$504,Master!$B$31)-SUMIFS(TB!$I$5:$I$504,TB!$E$5:$E$504,Master!$B$31))/RoundingFactor</f>
        <v/>
      </c>
    </row>
    <row r="14">
      <c r="B14">
        <f>Master!$B$32</f>
        <v/>
      </c>
      <c r="C14">
        <f>IFERROR(INDEX(Master!$I$2:$I$39,MATCH(Master!$B$32,Master!$B$2:$B$39,0)),"")</f>
        <v/>
      </c>
      <c r="D14" s="8">
        <f>(SUMIFS(TB!$F$5:$F$504,TB!$E$5:$E$504,Master!$B$32)-SUMIFS(TB!$G$5:$G$504,TB!$E$5:$E$504,Master!$B$32))/RoundingFactor</f>
        <v/>
      </c>
      <c r="E14" s="8">
        <f>(SUMIFS(TB!$H$5:$H$504,TB!$E$5:$E$504,Master!$B$32)-SUMIFS(TB!$I$5:$I$504,TB!$E$5:$E$504,Master!$B$32))/RoundingFactor</f>
        <v/>
      </c>
    </row>
    <row r="15">
      <c r="B15">
        <f>Master!$B$33</f>
        <v/>
      </c>
      <c r="C15">
        <f>IFERROR(INDEX(Master!$I$2:$I$39,MATCH(Master!$B$33,Master!$B$2:$B$39,0)),"")</f>
        <v/>
      </c>
      <c r="D15" s="8">
        <f>(SUMIFS(TB!$F$5:$F$504,TB!$E$5:$E$504,Master!$B$33)-SUMIFS(TB!$G$5:$G$504,TB!$E$5:$E$504,Master!$B$33))/RoundingFactor</f>
        <v/>
      </c>
      <c r="E15" s="8">
        <f>(SUMIFS(TB!$H$5:$H$504,TB!$E$5:$E$504,Master!$B$33)-SUMIFS(TB!$I$5:$I$504,TB!$E$5:$E$504,Master!$B$33))/RoundingFactor</f>
        <v/>
      </c>
    </row>
    <row r="16">
      <c r="B16">
        <f>Master!$B$34</f>
        <v/>
      </c>
      <c r="C16">
        <f>IFERROR(INDEX(Master!$I$2:$I$39,MATCH(Master!$B$34,Master!$B$2:$B$39,0)),"")</f>
        <v/>
      </c>
      <c r="D16" s="8">
        <f>(SUMIFS(TB!$F$5:$F$504,TB!$E$5:$E$504,Master!$B$34)-SUMIFS(TB!$G$5:$G$504,TB!$E$5:$E$504,Master!$B$34))/RoundingFactor</f>
        <v/>
      </c>
      <c r="E16" s="8">
        <f>(SUMIFS(TB!$H$5:$H$504,TB!$E$5:$E$504,Master!$B$34)-SUMIFS(TB!$I$5:$I$504,TB!$E$5:$E$504,Master!$B$34))/RoundingFactor</f>
        <v/>
      </c>
    </row>
    <row r="17">
      <c r="B17">
        <f>Master!$B$35</f>
        <v/>
      </c>
      <c r="C17">
        <f>IFERROR(INDEX(Master!$I$2:$I$39,MATCH(Master!$B$35,Master!$B$2:$B$39,0)),"")</f>
        <v/>
      </c>
      <c r="D17" s="8">
        <f>(SUMIFS(TB!$F$5:$F$504,TB!$E$5:$E$504,Master!$B$35)-SUMIFS(TB!$G$5:$G$504,TB!$E$5:$E$504,Master!$B$35))/RoundingFactor</f>
        <v/>
      </c>
      <c r="E17" s="8">
        <f>(SUMIFS(TB!$H$5:$H$504,TB!$E$5:$E$504,Master!$B$35)-SUMIFS(TB!$I$5:$I$504,TB!$E$5:$E$504,Master!$B$35))/RoundingFactor</f>
        <v/>
      </c>
    </row>
    <row r="18">
      <c r="B18">
        <f>Master!$B$36</f>
        <v/>
      </c>
      <c r="C18">
        <f>IFERROR(INDEX(Master!$I$2:$I$39,MATCH(Master!$B$36,Master!$B$2:$B$39,0)),"")</f>
        <v/>
      </c>
      <c r="D18" s="8">
        <f>(SUMIFS(TB!$F$5:$F$504,TB!$E$5:$E$504,Master!$B$36)-SUMIFS(TB!$G$5:$G$504,TB!$E$5:$E$504,Master!$B$36))/RoundingFactor</f>
        <v/>
      </c>
      <c r="E18" s="8">
        <f>(SUMIFS(TB!$H$5:$H$504,TB!$E$5:$E$504,Master!$B$36)-SUMIFS(TB!$I$5:$I$504,TB!$E$5:$E$504,Master!$B$36))/RoundingFactor</f>
        <v/>
      </c>
    </row>
    <row r="19">
      <c r="B19" s="1" t="inlineStr">
        <is>
          <t>Total Expenses</t>
        </is>
      </c>
      <c r="D19" s="9">
        <f>SUM(D12:D18)</f>
        <v/>
      </c>
      <c r="E19" s="9">
        <f>SUM(E12:E18)</f>
        <v/>
      </c>
    </row>
    <row r="21">
      <c r="B21" s="1">
        <f>IF(AND(Home!$C$11="Partnership Firm",Home!$F$14="Y"),"Profit before partners' remuneration and tax","Profit before tax")</f>
        <v/>
      </c>
      <c r="D21" s="9">
        <f>D9-D19</f>
        <v/>
      </c>
      <c r="E21" s="9">
        <f>E9-E19</f>
        <v/>
      </c>
    </row>
    <row r="22">
      <c r="B22">
        <f>IF(AND(Home!$C$11="Partnership Firm",Home!$F$14="Y"),"Less: Remuneration and interest to partners","")</f>
        <v/>
      </c>
      <c r="D22" s="8">
        <f>IF(AND(Home!$C$11="Partnership Firm",Home!$F$14="Y"),(SUMIFS(TB!$F$5:$F$504,TB!$E$5:$E$504,Master!$B$37)-SUMIFS(TB!$G$5:$G$504,TB!$E$5:$E$504,Master!$B$37))/RoundingFactor,0)</f>
        <v/>
      </c>
      <c r="E22" s="8">
        <f>IF(AND(Home!$C$11="Partnership Firm",Home!$F$14="Y"),(SUMIFS(TB!$H$5:$H$504,TB!$E$5:$E$504,Master!$B$37)-SUMIFS(TB!$I$5:$I$504,TB!$E$5:$E$504,Master!$B$37))/RoundingFactor,0)</f>
        <v/>
      </c>
    </row>
    <row r="23">
      <c r="B23" s="1" t="inlineStr">
        <is>
          <t>Profit before tax</t>
        </is>
      </c>
      <c r="D23" s="9">
        <f>D21-D22</f>
        <v/>
      </c>
      <c r="E23" s="9">
        <f>E21-E22</f>
        <v/>
      </c>
    </row>
    <row r="25">
      <c r="B25" s="1">
        <f>IF(Home!$F$13="Y","TAX EXPENSE","")</f>
        <v/>
      </c>
    </row>
    <row r="26">
      <c r="B26">
        <f>IF(Home!$F$13="Y","Current tax","")</f>
        <v/>
      </c>
      <c r="D26" s="8">
        <f>IF(Home!$F$13="Y",(SUMIFS(TB!$F$5:$F$504,TB!$E$5:$E$504,Master!$B$38)-SUMIFS(TB!$G$5:$G$504,TB!$E$5:$E$504,Master!$B$38))/RoundingFactor,0)</f>
        <v/>
      </c>
      <c r="E26" s="8">
        <f>IF(Home!$F$13="Y",(SUMIFS(TB!$H$5:$H$504,TB!$E$5:$E$504,Master!$B$38)-SUMIFS(TB!$I$5:$I$504,TB!$E$5:$E$504,Master!$B$38))/RoundingFactor,0)</f>
        <v/>
      </c>
    </row>
    <row r="27">
      <c r="B27">
        <f>IF(Home!$F$13="Y","Deferred tax","")</f>
        <v/>
      </c>
      <c r="D27" s="8">
        <f>IF(Home!$F$13="Y",(SUMIFS(TB!$F$5:$F$504,TB!$E$5:$E$504,Master!$B$39)-SUMIFS(TB!$G$5:$G$504,TB!$E$5:$E$504,Master!$B$39))/RoundingFactor,0)</f>
        <v/>
      </c>
      <c r="E27" s="8">
        <f>IF(Home!$F$13="Y",(SUMIFS(TB!$H$5:$H$504,TB!$E$5:$E$504,Master!$B$39)-SUMIFS(TB!$I$5:$I$504,TB!$E$5:$E$504,Master!$B$39))/RoundingFactor,0)</f>
        <v/>
      </c>
    </row>
    <row r="29">
      <c r="B29" s="1" t="inlineStr">
        <is>
          <t>PROFIT FOR THE YEAR</t>
        </is>
      </c>
      <c r="D29" s="9">
        <f>D23-D26-D27</f>
        <v/>
      </c>
      <c r="E29" s="9">
        <f>E23-E26-E27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D117"/>
  <sheetViews>
    <sheetView workbookViewId="0">
      <selection activeCell="A1" sqref="A1"/>
    </sheetView>
  </sheetViews>
  <sheetFormatPr baseColWidth="8" defaultRowHeight="15" outlineLevelCol="0"/>
  <cols>
    <col width="3" customWidth="1" min="1" max="1"/>
    <col width="50" customWidth="1" min="2" max="2"/>
    <col width="18" customWidth="1" min="3" max="3"/>
    <col width="18" customWidth="1" min="4" max="4"/>
  </cols>
  <sheetData>
    <row r="1">
      <c r="B1" s="2">
        <f>Home!$C$10</f>
        <v/>
      </c>
    </row>
    <row r="2">
      <c r="B2" s="1" t="inlineStr">
        <is>
          <t>Notes forming part of the Financial Statements</t>
        </is>
      </c>
    </row>
    <row r="3">
      <c r="B3" s="3">
        <f>"Tip: filter the Group column on the Trial Balance sheet by a Note's heading below to see the ledger-level detail behind that note."</f>
        <v/>
      </c>
    </row>
    <row r="5">
      <c r="B5" s="1">
        <f>IF(Master!$I$2="","","Note "&amp;Master!$I$2&amp;": "&amp;Master!$B$2)</f>
        <v/>
      </c>
      <c r="C5">
        <f>IF(Master!$I$2="","",TEXT(Home!$F$10,"DD MMM YYYY"))</f>
        <v/>
      </c>
      <c r="D5">
        <f>IF(Master!$I$2="","",TEXT(Home!$F$11,"DD MMM YYYY"))</f>
        <v/>
      </c>
    </row>
    <row r="6">
      <c r="B6">
        <f>IF(Master!$I$2="","","Total")</f>
        <v/>
      </c>
      <c r="C6" s="8">
        <f>(SUMIFS(TB!$G$5:$G$504,TB!$E$5:$E$504,Master!$B$2)-SUMIFS(TB!$F$5:$F$504,TB!$E$5:$E$504,Master!$B$2))/RoundingFactor</f>
        <v/>
      </c>
      <c r="D6" s="8">
        <f>(SUMIFS(TB!$I$5:$I$504,TB!$E$5:$E$504,Master!$B$2)-SUMIFS(TB!$H$5:$H$504,TB!$E$5:$E$504,Master!$B$2))/RoundingFactor</f>
        <v/>
      </c>
    </row>
    <row r="8">
      <c r="B8" s="1">
        <f>IF(Master!$I$3="","","Note "&amp;Master!$I$3&amp;": "&amp;Master!$B$3)</f>
        <v/>
      </c>
      <c r="C8">
        <f>IF(Master!$I$3="","",TEXT(Home!$F$10,"DD MMM YYYY"))</f>
        <v/>
      </c>
      <c r="D8">
        <f>IF(Master!$I$3="","",TEXT(Home!$F$11,"DD MMM YYYY"))</f>
        <v/>
      </c>
    </row>
    <row r="9">
      <c r="B9">
        <f>IF(Master!$I$3="","","Total")</f>
        <v/>
      </c>
      <c r="C9" s="8">
        <f>(SUMIFS(TB!$G$5:$G$504,TB!$E$5:$E$504,Master!$B$3)-SUMIFS(TB!$F$5:$F$504,TB!$E$5:$E$504,Master!$B$3))/RoundingFactor</f>
        <v/>
      </c>
      <c r="D9" s="8">
        <f>(SUMIFS(TB!$I$5:$I$504,TB!$E$5:$E$504,Master!$B$3)-SUMIFS(TB!$H$5:$H$504,TB!$E$5:$E$504,Master!$B$3))/RoundingFactor</f>
        <v/>
      </c>
    </row>
    <row r="11">
      <c r="B11" s="1">
        <f>IF(Master!$I$4="","","Note "&amp;Master!$I$4&amp;": "&amp;Master!$B$4)</f>
        <v/>
      </c>
      <c r="C11">
        <f>IF(Master!$I$4="","",TEXT(Home!$F$10,"DD MMM YYYY"))</f>
        <v/>
      </c>
      <c r="D11">
        <f>IF(Master!$I$4="","",TEXT(Home!$F$11,"DD MMM YYYY"))</f>
        <v/>
      </c>
    </row>
    <row r="12">
      <c r="B12">
        <f>IF(Master!$I$4="","","Total")</f>
        <v/>
      </c>
      <c r="C12" s="8">
        <f>(SUMIFS(TB!$G$5:$G$504,TB!$E$5:$E$504,Master!$B$4)-SUMIFS(TB!$F$5:$F$504,TB!$E$5:$E$504,Master!$B$4))/RoundingFactor</f>
        <v/>
      </c>
      <c r="D12" s="8">
        <f>(SUMIFS(TB!$I$5:$I$504,TB!$E$5:$E$504,Master!$B$4)-SUMIFS(TB!$H$5:$H$504,TB!$E$5:$E$504,Master!$B$4))/RoundingFactor</f>
        <v/>
      </c>
    </row>
    <row r="14">
      <c r="B14" s="1">
        <f>IF(Master!$I$5="","","Note "&amp;Master!$I$5&amp;": "&amp;Master!$B$5)</f>
        <v/>
      </c>
      <c r="C14">
        <f>IF(Master!$I$5="","",TEXT(Home!$F$10,"DD MMM YYYY"))</f>
        <v/>
      </c>
      <c r="D14">
        <f>IF(Master!$I$5="","",TEXT(Home!$F$11,"DD MMM YYYY"))</f>
        <v/>
      </c>
    </row>
    <row r="15">
      <c r="B15">
        <f>IF(Master!$I$5="","","Total")</f>
        <v/>
      </c>
      <c r="C15" s="8">
        <f>(SUMIFS(TB!$G$5:$G$504,TB!$E$5:$E$504,Master!$B$5)-SUMIFS(TB!$F$5:$F$504,TB!$E$5:$E$504,Master!$B$5))/RoundingFactor</f>
        <v/>
      </c>
      <c r="D15" s="8">
        <f>(SUMIFS(TB!$I$5:$I$504,TB!$E$5:$E$504,Master!$B$5)-SUMIFS(TB!$H$5:$H$504,TB!$E$5:$E$504,Master!$B$5))/RoundingFactor</f>
        <v/>
      </c>
    </row>
    <row r="17">
      <c r="B17" s="1">
        <f>IF(Master!$I$6="","","Note "&amp;Master!$I$6&amp;": "&amp;Master!$B$6)</f>
        <v/>
      </c>
      <c r="C17">
        <f>IF(Master!$I$6="","",TEXT(Home!$F$10,"DD MMM YYYY"))</f>
        <v/>
      </c>
      <c r="D17">
        <f>IF(Master!$I$6="","",TEXT(Home!$F$11,"DD MMM YYYY"))</f>
        <v/>
      </c>
    </row>
    <row r="18">
      <c r="B18">
        <f>IF(Master!$I$6="","","Total")</f>
        <v/>
      </c>
      <c r="C18" s="8">
        <f>(SUMIFS(TB!$G$5:$G$504,TB!$E$5:$E$504,Master!$B$6)-SUMIFS(TB!$F$5:$F$504,TB!$E$5:$E$504,Master!$B$6))/RoundingFactor</f>
        <v/>
      </c>
      <c r="D18" s="8">
        <f>(SUMIFS(TB!$I$5:$I$504,TB!$E$5:$E$504,Master!$B$6)-SUMIFS(TB!$H$5:$H$504,TB!$E$5:$E$504,Master!$B$6))/RoundingFactor</f>
        <v/>
      </c>
    </row>
    <row r="20">
      <c r="B20" s="1">
        <f>IF(Master!$I$7="","","Note "&amp;Master!$I$7&amp;": "&amp;Master!$B$7)</f>
        <v/>
      </c>
      <c r="C20">
        <f>IF(Master!$I$7="","",TEXT(Home!$F$10,"DD MMM YYYY"))</f>
        <v/>
      </c>
      <c r="D20">
        <f>IF(Master!$I$7="","",TEXT(Home!$F$11,"DD MMM YYYY"))</f>
        <v/>
      </c>
    </row>
    <row r="21">
      <c r="B21">
        <f>IF(Master!$I$7="","","Total")</f>
        <v/>
      </c>
      <c r="C21" s="8">
        <f>(SUMIFS(TB!$G$5:$G$504,TB!$E$5:$E$504,Master!$B$7)-SUMIFS(TB!$F$5:$F$504,TB!$E$5:$E$504,Master!$B$7))/RoundingFactor</f>
        <v/>
      </c>
      <c r="D21" s="8">
        <f>(SUMIFS(TB!$I$5:$I$504,TB!$E$5:$E$504,Master!$B$7)-SUMIFS(TB!$H$5:$H$504,TB!$E$5:$E$504,Master!$B$7))/RoundingFactor</f>
        <v/>
      </c>
    </row>
    <row r="23">
      <c r="B23" s="1">
        <f>IF(Master!$I$8="","","Note "&amp;Master!$I$8&amp;": "&amp;Master!$B$8)</f>
        <v/>
      </c>
      <c r="C23">
        <f>IF(Master!$I$8="","",TEXT(Home!$F$10,"DD MMM YYYY"))</f>
        <v/>
      </c>
      <c r="D23">
        <f>IF(Master!$I$8="","",TEXT(Home!$F$11,"DD MMM YYYY"))</f>
        <v/>
      </c>
    </row>
    <row r="24">
      <c r="B24">
        <f>IF(Master!$I$8="","","Total")</f>
        <v/>
      </c>
      <c r="C24" s="8">
        <f>(SUMIFS(TB!$G$5:$G$504,TB!$E$5:$E$504,Master!$B$8)-SUMIFS(TB!$F$5:$F$504,TB!$E$5:$E$504,Master!$B$8))/RoundingFactor</f>
        <v/>
      </c>
      <c r="D24" s="8">
        <f>(SUMIFS(TB!$I$5:$I$504,TB!$E$5:$E$504,Master!$B$8)-SUMIFS(TB!$H$5:$H$504,TB!$E$5:$E$504,Master!$B$8))/RoundingFactor</f>
        <v/>
      </c>
    </row>
    <row r="26">
      <c r="B26" s="1">
        <f>IF(Master!$I$9="","","Note "&amp;Master!$I$9&amp;": "&amp;Master!$B$9)</f>
        <v/>
      </c>
      <c r="C26">
        <f>IF(Master!$I$9="","",TEXT(Home!$F$10,"DD MMM YYYY"))</f>
        <v/>
      </c>
      <c r="D26">
        <f>IF(Master!$I$9="","",TEXT(Home!$F$11,"DD MMM YYYY"))</f>
        <v/>
      </c>
    </row>
    <row r="27">
      <c r="B27">
        <f>IF(Master!$I$9="","","Total")</f>
        <v/>
      </c>
      <c r="C27" s="8">
        <f>(SUMIFS(TB!$G$5:$G$504,TB!$E$5:$E$504,Master!$B$9)-SUMIFS(TB!$F$5:$F$504,TB!$E$5:$E$504,Master!$B$9))/RoundingFactor</f>
        <v/>
      </c>
      <c r="D27" s="8">
        <f>(SUMIFS(TB!$I$5:$I$504,TB!$E$5:$E$504,Master!$B$9)-SUMIFS(TB!$H$5:$H$504,TB!$E$5:$E$504,Master!$B$9))/RoundingFactor</f>
        <v/>
      </c>
    </row>
    <row r="29">
      <c r="B29" s="1">
        <f>IF(Master!$I$10="","","Note "&amp;Master!$I$10&amp;": "&amp;Master!$B$10)</f>
        <v/>
      </c>
      <c r="C29">
        <f>IF(Master!$I$10="","",TEXT(Home!$F$10,"DD MMM YYYY"))</f>
        <v/>
      </c>
      <c r="D29">
        <f>IF(Master!$I$10="","",TEXT(Home!$F$11,"DD MMM YYYY"))</f>
        <v/>
      </c>
    </row>
    <row r="30">
      <c r="B30">
        <f>IF(Master!$I$10="","","Total")</f>
        <v/>
      </c>
      <c r="C30" s="8">
        <f>(SUMIFS(TB!$G$5:$G$504,TB!$E$5:$E$504,Master!$B$10)-SUMIFS(TB!$F$5:$F$504,TB!$E$5:$E$504,Master!$B$10))/RoundingFactor</f>
        <v/>
      </c>
      <c r="D30" s="8">
        <f>(SUMIFS(TB!$I$5:$I$504,TB!$E$5:$E$504,Master!$B$10)-SUMIFS(TB!$H$5:$H$504,TB!$E$5:$E$504,Master!$B$10))/RoundingFactor</f>
        <v/>
      </c>
    </row>
    <row r="32">
      <c r="B32" s="1">
        <f>IF(Master!$I$11="","","Note "&amp;Master!$I$11&amp;": "&amp;Master!$B$11)</f>
        <v/>
      </c>
      <c r="C32">
        <f>IF(Master!$I$11="","",TEXT(Home!$F$10,"DD MMM YYYY"))</f>
        <v/>
      </c>
      <c r="D32">
        <f>IF(Master!$I$11="","",TEXT(Home!$F$11,"DD MMM YYYY"))</f>
        <v/>
      </c>
    </row>
    <row r="33">
      <c r="B33">
        <f>IF(Master!$I$11="","","Total")</f>
        <v/>
      </c>
      <c r="C33" s="8">
        <f>(SUMIFS(TB!$G$5:$G$504,TB!$E$5:$E$504,Master!$B$11)-SUMIFS(TB!$F$5:$F$504,TB!$E$5:$E$504,Master!$B$11))/RoundingFactor</f>
        <v/>
      </c>
      <c r="D33" s="8">
        <f>(SUMIFS(TB!$I$5:$I$504,TB!$E$5:$E$504,Master!$B$11)-SUMIFS(TB!$H$5:$H$504,TB!$E$5:$E$504,Master!$B$11))/RoundingFactor</f>
        <v/>
      </c>
    </row>
    <row r="35">
      <c r="B35" s="1">
        <f>IF(Master!$I$12="","","Note "&amp;Master!$I$12&amp;": "&amp;Master!$B$12)</f>
        <v/>
      </c>
      <c r="C35">
        <f>IF(Master!$I$12="","",TEXT(Home!$F$10,"DD MMM YYYY"))</f>
        <v/>
      </c>
      <c r="D35">
        <f>IF(Master!$I$12="","",TEXT(Home!$F$11,"DD MMM YYYY"))</f>
        <v/>
      </c>
    </row>
    <row r="36">
      <c r="B36">
        <f>IF(Master!$I$12="","","Total")</f>
        <v/>
      </c>
      <c r="C36" s="8">
        <f>(SUMIFS(TB!$G$5:$G$504,TB!$E$5:$E$504,Master!$B$12)-SUMIFS(TB!$F$5:$F$504,TB!$E$5:$E$504,Master!$B$12))/RoundingFactor</f>
        <v/>
      </c>
      <c r="D36" s="8">
        <f>(SUMIFS(TB!$I$5:$I$504,TB!$E$5:$E$504,Master!$B$12)-SUMIFS(TB!$H$5:$H$504,TB!$E$5:$E$504,Master!$B$12))/RoundingFactor</f>
        <v/>
      </c>
    </row>
    <row r="38">
      <c r="B38" s="1">
        <f>IF(Master!$I$13="","","Note "&amp;Master!$I$13&amp;": "&amp;Master!$B$13)</f>
        <v/>
      </c>
      <c r="C38">
        <f>IF(Master!$I$13="","",TEXT(Home!$F$10,"DD MMM YYYY"))</f>
        <v/>
      </c>
      <c r="D38">
        <f>IF(Master!$I$13="","",TEXT(Home!$F$11,"DD MMM YYYY"))</f>
        <v/>
      </c>
    </row>
    <row r="39">
      <c r="B39">
        <f>IF(Master!$I$13="","","Total")</f>
        <v/>
      </c>
      <c r="C39" s="8">
        <f>(SUMIFS(TB!$F$5:$F$504,TB!$E$5:$E$504,Master!$B$13)-SUMIFS(TB!$G$5:$G$504,TB!$E$5:$E$504,Master!$B$13))/RoundingFactor</f>
        <v/>
      </c>
      <c r="D39" s="8">
        <f>(SUMIFS(TB!$H$5:$H$504,TB!$E$5:$E$504,Master!$B$13)-SUMIFS(TB!$I$5:$I$504,TB!$E$5:$E$504,Master!$B$13))/RoundingFactor</f>
        <v/>
      </c>
    </row>
    <row r="41">
      <c r="B41" s="1">
        <f>IF(Master!$I$14="","","Note "&amp;Master!$I$14&amp;": "&amp;Master!$B$14)</f>
        <v/>
      </c>
      <c r="C41">
        <f>IF(Master!$I$14="","",TEXT(Home!$F$10,"DD MMM YYYY"))</f>
        <v/>
      </c>
      <c r="D41">
        <f>IF(Master!$I$14="","",TEXT(Home!$F$11,"DD MMM YYYY"))</f>
        <v/>
      </c>
    </row>
    <row r="42">
      <c r="B42">
        <f>IF(Master!$I$14="","","Total")</f>
        <v/>
      </c>
      <c r="C42" s="8">
        <f>(SUMIFS(TB!$F$5:$F$504,TB!$E$5:$E$504,Master!$B$14)-SUMIFS(TB!$G$5:$G$504,TB!$E$5:$E$504,Master!$B$14))/RoundingFactor</f>
        <v/>
      </c>
      <c r="D42" s="8">
        <f>(SUMIFS(TB!$H$5:$H$504,TB!$E$5:$E$504,Master!$B$14)-SUMIFS(TB!$I$5:$I$504,TB!$E$5:$E$504,Master!$B$14))/RoundingFactor</f>
        <v/>
      </c>
    </row>
    <row r="44">
      <c r="B44" s="1">
        <f>IF(Master!$I$15="","","Note "&amp;Master!$I$15&amp;": "&amp;Master!$B$15)</f>
        <v/>
      </c>
      <c r="C44">
        <f>IF(Master!$I$15="","",TEXT(Home!$F$10,"DD MMM YYYY"))</f>
        <v/>
      </c>
      <c r="D44">
        <f>IF(Master!$I$15="","",TEXT(Home!$F$11,"DD MMM YYYY"))</f>
        <v/>
      </c>
    </row>
    <row r="45">
      <c r="B45">
        <f>IF(Master!$I$15="","","Total")</f>
        <v/>
      </c>
      <c r="C45" s="8">
        <f>(SUMIFS(TB!$F$5:$F$504,TB!$E$5:$E$504,Master!$B$15)-SUMIFS(TB!$G$5:$G$504,TB!$E$5:$E$504,Master!$B$15))/RoundingFactor</f>
        <v/>
      </c>
      <c r="D45" s="8">
        <f>(SUMIFS(TB!$H$5:$H$504,TB!$E$5:$E$504,Master!$B$15)-SUMIFS(TB!$I$5:$I$504,TB!$E$5:$E$504,Master!$B$15))/RoundingFactor</f>
        <v/>
      </c>
    </row>
    <row r="47">
      <c r="B47" s="1">
        <f>IF(Master!$I$16="","","Note "&amp;Master!$I$16&amp;": "&amp;Master!$B$16)</f>
        <v/>
      </c>
      <c r="C47">
        <f>IF(Master!$I$16="","",TEXT(Home!$F$10,"DD MMM YYYY"))</f>
        <v/>
      </c>
      <c r="D47">
        <f>IF(Master!$I$16="","",TEXT(Home!$F$11,"DD MMM YYYY"))</f>
        <v/>
      </c>
    </row>
    <row r="48">
      <c r="B48">
        <f>IF(Master!$I$16="","","Total")</f>
        <v/>
      </c>
      <c r="C48" s="8">
        <f>(SUMIFS(TB!$F$5:$F$504,TB!$E$5:$E$504,Master!$B$16)-SUMIFS(TB!$G$5:$G$504,TB!$E$5:$E$504,Master!$B$16))/RoundingFactor</f>
        <v/>
      </c>
      <c r="D48" s="8">
        <f>(SUMIFS(TB!$H$5:$H$504,TB!$E$5:$E$504,Master!$B$16)-SUMIFS(TB!$I$5:$I$504,TB!$E$5:$E$504,Master!$B$16))/RoundingFactor</f>
        <v/>
      </c>
    </row>
    <row r="50">
      <c r="B50" s="1">
        <f>IF(Master!$I$17="","","Note "&amp;Master!$I$17&amp;": "&amp;Master!$B$17)</f>
        <v/>
      </c>
      <c r="C50">
        <f>IF(Master!$I$17="","",TEXT(Home!$F$10,"DD MMM YYYY"))</f>
        <v/>
      </c>
      <c r="D50">
        <f>IF(Master!$I$17="","",TEXT(Home!$F$11,"DD MMM YYYY"))</f>
        <v/>
      </c>
    </row>
    <row r="51">
      <c r="B51">
        <f>IF(Master!$I$17="","","Total")</f>
        <v/>
      </c>
      <c r="C51" s="8">
        <f>(SUMIFS(TB!$F$5:$F$504,TB!$E$5:$E$504,Master!$B$17)-SUMIFS(TB!$G$5:$G$504,TB!$E$5:$E$504,Master!$B$17))/RoundingFactor</f>
        <v/>
      </c>
      <c r="D51" s="8">
        <f>(SUMIFS(TB!$H$5:$H$504,TB!$E$5:$E$504,Master!$B$17)-SUMIFS(TB!$I$5:$I$504,TB!$E$5:$E$504,Master!$B$17))/RoundingFactor</f>
        <v/>
      </c>
    </row>
    <row r="53">
      <c r="B53" s="1">
        <f>IF(Master!$I$18="","","Note "&amp;Master!$I$18&amp;": "&amp;Master!$B$18)</f>
        <v/>
      </c>
      <c r="C53">
        <f>IF(Master!$I$18="","",TEXT(Home!$F$10,"DD MMM YYYY"))</f>
        <v/>
      </c>
      <c r="D53">
        <f>IF(Master!$I$18="","",TEXT(Home!$F$11,"DD MMM YYYY"))</f>
        <v/>
      </c>
    </row>
    <row r="54">
      <c r="B54">
        <f>IF(Master!$I$18="","","Total")</f>
        <v/>
      </c>
      <c r="C54" s="8">
        <f>(SUMIFS(TB!$F$5:$F$504,TB!$E$5:$E$504,Master!$B$18)-SUMIFS(TB!$G$5:$G$504,TB!$E$5:$E$504,Master!$B$18))/RoundingFactor</f>
        <v/>
      </c>
      <c r="D54" s="8">
        <f>(SUMIFS(TB!$H$5:$H$504,TB!$E$5:$E$504,Master!$B$18)-SUMIFS(TB!$I$5:$I$504,TB!$E$5:$E$504,Master!$B$18))/RoundingFactor</f>
        <v/>
      </c>
    </row>
    <row r="56">
      <c r="B56" s="1">
        <f>IF(Master!$I$19="","","Note "&amp;Master!$I$19&amp;": "&amp;Master!$B$19)</f>
        <v/>
      </c>
      <c r="C56">
        <f>IF(Master!$I$19="","",TEXT(Home!$F$10,"DD MMM YYYY"))</f>
        <v/>
      </c>
      <c r="D56">
        <f>IF(Master!$I$19="","",TEXT(Home!$F$11,"DD MMM YYYY"))</f>
        <v/>
      </c>
    </row>
    <row r="57">
      <c r="B57">
        <f>IF(Master!$I$19="","","Total")</f>
        <v/>
      </c>
      <c r="C57" s="8">
        <f>(SUMIFS(TB!$F$5:$F$504,TB!$E$5:$E$504,Master!$B$19)-SUMIFS(TB!$G$5:$G$504,TB!$E$5:$E$504,Master!$B$19))/RoundingFactor</f>
        <v/>
      </c>
      <c r="D57" s="8">
        <f>(SUMIFS(TB!$H$5:$H$504,TB!$E$5:$E$504,Master!$B$19)-SUMIFS(TB!$I$5:$I$504,TB!$E$5:$E$504,Master!$B$19))/RoundingFactor</f>
        <v/>
      </c>
    </row>
    <row r="59">
      <c r="B59" s="1">
        <f>IF(Master!$I$20="","","Note "&amp;Master!$I$20&amp;": "&amp;Master!$B$20)</f>
        <v/>
      </c>
      <c r="C59">
        <f>IF(Master!$I$20="","",TEXT(Home!$F$10,"DD MMM YYYY"))</f>
        <v/>
      </c>
      <c r="D59">
        <f>IF(Master!$I$20="","",TEXT(Home!$F$11,"DD MMM YYYY"))</f>
        <v/>
      </c>
    </row>
    <row r="60">
      <c r="B60">
        <f>IF(Master!$I$20="","","Total")</f>
        <v/>
      </c>
      <c r="C60" s="8">
        <f>(SUMIFS(TB!$F$5:$F$504,TB!$E$5:$E$504,Master!$B$20)-SUMIFS(TB!$G$5:$G$504,TB!$E$5:$E$504,Master!$B$20))/RoundingFactor</f>
        <v/>
      </c>
      <c r="D60" s="8">
        <f>(SUMIFS(TB!$H$5:$H$504,TB!$E$5:$E$504,Master!$B$20)-SUMIFS(TB!$I$5:$I$504,TB!$E$5:$E$504,Master!$B$20))/RoundingFactor</f>
        <v/>
      </c>
    </row>
    <row r="62">
      <c r="B62" s="1">
        <f>IF(Master!$I$21="","","Note "&amp;Master!$I$21&amp;": "&amp;Master!$B$21)</f>
        <v/>
      </c>
      <c r="C62">
        <f>IF(Master!$I$21="","",TEXT(Home!$F$10,"DD MMM YYYY"))</f>
        <v/>
      </c>
      <c r="D62">
        <f>IF(Master!$I$21="","",TEXT(Home!$F$11,"DD MMM YYYY"))</f>
        <v/>
      </c>
    </row>
    <row r="63">
      <c r="B63">
        <f>IF(Master!$I$21="","","Total")</f>
        <v/>
      </c>
      <c r="C63" s="8">
        <f>(SUMIFS(TB!$F$5:$F$504,TB!$E$5:$E$504,Master!$B$21)-SUMIFS(TB!$G$5:$G$504,TB!$E$5:$E$504,Master!$B$21))/RoundingFactor</f>
        <v/>
      </c>
      <c r="D63" s="8">
        <f>(SUMIFS(TB!$H$5:$H$504,TB!$E$5:$E$504,Master!$B$21)-SUMIFS(TB!$I$5:$I$504,TB!$E$5:$E$504,Master!$B$21))/RoundingFactor</f>
        <v/>
      </c>
    </row>
    <row r="65">
      <c r="B65" s="1">
        <f>IF(Master!$I$22="","","Note "&amp;Master!$I$22&amp;": "&amp;Master!$B$22)</f>
        <v/>
      </c>
      <c r="C65">
        <f>IF(Master!$I$22="","",TEXT(Home!$F$10,"DD MMM YYYY"))</f>
        <v/>
      </c>
      <c r="D65">
        <f>IF(Master!$I$22="","",TEXT(Home!$F$11,"DD MMM YYYY"))</f>
        <v/>
      </c>
    </row>
    <row r="66">
      <c r="B66">
        <f>IF(Master!$I$22="","","Total")</f>
        <v/>
      </c>
      <c r="C66" s="8">
        <f>(SUMIFS(TB!$F$5:$F$504,TB!$E$5:$E$504,Master!$B$22)-SUMIFS(TB!$G$5:$G$504,TB!$E$5:$E$504,Master!$B$22))/RoundingFactor</f>
        <v/>
      </c>
      <c r="D66" s="8">
        <f>(SUMIFS(TB!$H$5:$H$504,TB!$E$5:$E$504,Master!$B$22)-SUMIFS(TB!$I$5:$I$504,TB!$E$5:$E$504,Master!$B$22))/RoundingFactor</f>
        <v/>
      </c>
    </row>
    <row r="68">
      <c r="B68" s="1">
        <f>IF(Master!$I$23="","","Note "&amp;Master!$I$23&amp;": "&amp;Master!$B$23)</f>
        <v/>
      </c>
      <c r="C68">
        <f>IF(Master!$I$23="","",TEXT(Home!$F$10,"DD MMM YYYY"))</f>
        <v/>
      </c>
      <c r="D68">
        <f>IF(Master!$I$23="","",TEXT(Home!$F$11,"DD MMM YYYY"))</f>
        <v/>
      </c>
    </row>
    <row r="69">
      <c r="B69">
        <f>IF(Master!$I$23="","","Total")</f>
        <v/>
      </c>
      <c r="C69" s="8">
        <f>(SUMIFS(TB!$F$5:$F$504,TB!$E$5:$E$504,Master!$B$23)-SUMIFS(TB!$G$5:$G$504,TB!$E$5:$E$504,Master!$B$23))/RoundingFactor</f>
        <v/>
      </c>
      <c r="D69" s="8">
        <f>(SUMIFS(TB!$H$5:$H$504,TB!$E$5:$E$504,Master!$B$23)-SUMIFS(TB!$I$5:$I$504,TB!$E$5:$E$504,Master!$B$23))/RoundingFactor</f>
        <v/>
      </c>
    </row>
    <row r="71">
      <c r="B71" s="1">
        <f>IF(Master!$I$24="","","Note "&amp;Master!$I$24&amp;": "&amp;Master!$B$24)</f>
        <v/>
      </c>
      <c r="C71">
        <f>IF(Master!$I$24="","",TEXT(Home!$F$10,"DD MMM YYYY"))</f>
        <v/>
      </c>
      <c r="D71">
        <f>IF(Master!$I$24="","",TEXT(Home!$F$11,"DD MMM YYYY"))</f>
        <v/>
      </c>
    </row>
    <row r="72">
      <c r="B72">
        <f>IF(Master!$I$24="","","Total")</f>
        <v/>
      </c>
      <c r="C72" s="8">
        <f>(SUMIFS(TB!$F$5:$F$504,TB!$E$5:$E$504,Master!$B$24)-SUMIFS(TB!$G$5:$G$504,TB!$E$5:$E$504,Master!$B$24))/RoundingFactor</f>
        <v/>
      </c>
      <c r="D72" s="8">
        <f>(SUMIFS(TB!$H$5:$H$504,TB!$E$5:$E$504,Master!$B$24)-SUMIFS(TB!$I$5:$I$504,TB!$E$5:$E$504,Master!$B$24))/RoundingFactor</f>
        <v/>
      </c>
    </row>
    <row r="74">
      <c r="B74" s="1">
        <f>IF(Master!$I$25="","","Note "&amp;Master!$I$25&amp;": "&amp;Master!$B$25)</f>
        <v/>
      </c>
      <c r="C74">
        <f>IF(Master!$I$25="","",TEXT(Home!$F$10,"DD MMM YYYY"))</f>
        <v/>
      </c>
      <c r="D74">
        <f>IF(Master!$I$25="","",TEXT(Home!$F$11,"DD MMM YYYY"))</f>
        <v/>
      </c>
    </row>
    <row r="75">
      <c r="B75">
        <f>IF(Master!$I$25="","","Total")</f>
        <v/>
      </c>
      <c r="C75" s="8">
        <f>(SUMIFS(TB!$F$5:$F$504,TB!$E$5:$E$504,Master!$B$25)-SUMIFS(TB!$G$5:$G$504,TB!$E$5:$E$504,Master!$B$25))/RoundingFactor</f>
        <v/>
      </c>
      <c r="D75" s="8">
        <f>(SUMIFS(TB!$H$5:$H$504,TB!$E$5:$E$504,Master!$B$25)-SUMIFS(TB!$I$5:$I$504,TB!$E$5:$E$504,Master!$B$25))/RoundingFactor</f>
        <v/>
      </c>
    </row>
    <row r="77">
      <c r="B77" s="1">
        <f>IF(Master!$I$26="","","Note "&amp;Master!$I$26&amp;": "&amp;Master!$B$26)</f>
        <v/>
      </c>
      <c r="C77">
        <f>IF(Master!$I$26="","",TEXT(Home!$F$10,"DD MMM YYYY"))</f>
        <v/>
      </c>
      <c r="D77">
        <f>IF(Master!$I$26="","",TEXT(Home!$F$11,"DD MMM YYYY"))</f>
        <v/>
      </c>
    </row>
    <row r="78">
      <c r="B78">
        <f>IF(Master!$I$26="","","Total")</f>
        <v/>
      </c>
      <c r="C78" s="8">
        <f>(SUMIFS(TB!$F$5:$F$504,TB!$E$5:$E$504,Master!$B$26)-SUMIFS(TB!$G$5:$G$504,TB!$E$5:$E$504,Master!$B$26))/RoundingFactor</f>
        <v/>
      </c>
      <c r="D78" s="8">
        <f>(SUMIFS(TB!$H$5:$H$504,TB!$E$5:$E$504,Master!$B$26)-SUMIFS(TB!$I$5:$I$504,TB!$E$5:$E$504,Master!$B$26))/RoundingFactor</f>
        <v/>
      </c>
    </row>
    <row r="80">
      <c r="B80" s="1">
        <f>IF(Master!$I$27="","","Note "&amp;Master!$I$27&amp;": "&amp;Master!$B$27)</f>
        <v/>
      </c>
      <c r="C80">
        <f>IF(Master!$I$27="","",TEXT(Home!$F$10,"DD MMM YYYY"))</f>
        <v/>
      </c>
      <c r="D80">
        <f>IF(Master!$I$27="","",TEXT(Home!$F$11,"DD MMM YYYY"))</f>
        <v/>
      </c>
    </row>
    <row r="81">
      <c r="B81">
        <f>IF(Master!$I$27="","","Total")</f>
        <v/>
      </c>
      <c r="C81" s="8">
        <f>(SUMIFS(TB!$F$5:$F$504,TB!$E$5:$E$504,Master!$B$27)-SUMIFS(TB!$G$5:$G$504,TB!$E$5:$E$504,Master!$B$27))/RoundingFactor</f>
        <v/>
      </c>
      <c r="D81" s="8">
        <f>(SUMIFS(TB!$H$5:$H$504,TB!$E$5:$E$504,Master!$B$27)-SUMIFS(TB!$I$5:$I$504,TB!$E$5:$E$504,Master!$B$27))/RoundingFactor</f>
        <v/>
      </c>
    </row>
    <row r="83">
      <c r="B83" s="1">
        <f>IF(Master!$I$28="","","Note "&amp;Master!$I$28&amp;": "&amp;Master!$B$28)</f>
        <v/>
      </c>
      <c r="C83">
        <f>IF(Master!$I$28="","",TEXT(Home!$F$10,"DD MMM YYYY"))</f>
        <v/>
      </c>
      <c r="D83">
        <f>IF(Master!$I$28="","",TEXT(Home!$F$11,"DD MMM YYYY"))</f>
        <v/>
      </c>
    </row>
    <row r="84">
      <c r="B84">
        <f>IF(Master!$I$28="","","Total")</f>
        <v/>
      </c>
      <c r="C84" s="8">
        <f>(SUMIFS(TB!$G$5:$G$504,TB!$E$5:$E$504,Master!$B$28)-SUMIFS(TB!$F$5:$F$504,TB!$E$5:$E$504,Master!$B$28))/RoundingFactor</f>
        <v/>
      </c>
      <c r="D84" s="8">
        <f>(SUMIFS(TB!$I$5:$I$504,TB!$E$5:$E$504,Master!$B$28)-SUMIFS(TB!$H$5:$H$504,TB!$E$5:$E$504,Master!$B$28))/RoundingFactor</f>
        <v/>
      </c>
    </row>
    <row r="86">
      <c r="B86" s="1">
        <f>IF(Master!$I$29="","","Note "&amp;Master!$I$29&amp;": "&amp;Master!$B$29)</f>
        <v/>
      </c>
      <c r="C86">
        <f>IF(Master!$I$29="","",TEXT(Home!$F$10,"DD MMM YYYY"))</f>
        <v/>
      </c>
      <c r="D86">
        <f>IF(Master!$I$29="","",TEXT(Home!$F$11,"DD MMM YYYY"))</f>
        <v/>
      </c>
    </row>
    <row r="87">
      <c r="B87">
        <f>IF(Master!$I$29="","","Total")</f>
        <v/>
      </c>
      <c r="C87" s="8">
        <f>(SUMIFS(TB!$G$5:$G$504,TB!$E$5:$E$504,Master!$B$29)-SUMIFS(TB!$F$5:$F$504,TB!$E$5:$E$504,Master!$B$29))/RoundingFactor</f>
        <v/>
      </c>
      <c r="D87" s="8">
        <f>(SUMIFS(TB!$I$5:$I$504,TB!$E$5:$E$504,Master!$B$29)-SUMIFS(TB!$H$5:$H$504,TB!$E$5:$E$504,Master!$B$29))/RoundingFactor</f>
        <v/>
      </c>
    </row>
    <row r="89">
      <c r="B89" s="1">
        <f>IF(Master!$I$30="","","Note "&amp;Master!$I$30&amp;": "&amp;Master!$B$30)</f>
        <v/>
      </c>
      <c r="C89">
        <f>IF(Master!$I$30="","",TEXT(Home!$F$10,"DD MMM YYYY"))</f>
        <v/>
      </c>
      <c r="D89">
        <f>IF(Master!$I$30="","",TEXT(Home!$F$11,"DD MMM YYYY"))</f>
        <v/>
      </c>
    </row>
    <row r="90">
      <c r="B90">
        <f>IF(Master!$I$30="","","Total")</f>
        <v/>
      </c>
      <c r="C90" s="8">
        <f>(SUMIFS(TB!$F$5:$F$504,TB!$E$5:$E$504,Master!$B$30)-SUMIFS(TB!$G$5:$G$504,TB!$E$5:$E$504,Master!$B$30))/RoundingFactor</f>
        <v/>
      </c>
      <c r="D90" s="8">
        <f>(SUMIFS(TB!$H$5:$H$504,TB!$E$5:$E$504,Master!$B$30)-SUMIFS(TB!$I$5:$I$504,TB!$E$5:$E$504,Master!$B$30))/RoundingFactor</f>
        <v/>
      </c>
    </row>
    <row r="92">
      <c r="B92" s="1">
        <f>IF(Master!$I$31="","","Note "&amp;Master!$I$31&amp;": "&amp;Master!$B$31)</f>
        <v/>
      </c>
      <c r="C92">
        <f>IF(Master!$I$31="","",TEXT(Home!$F$10,"DD MMM YYYY"))</f>
        <v/>
      </c>
      <c r="D92">
        <f>IF(Master!$I$31="","",TEXT(Home!$F$11,"DD MMM YYYY"))</f>
        <v/>
      </c>
    </row>
    <row r="93">
      <c r="B93">
        <f>IF(Master!$I$31="","","Total")</f>
        <v/>
      </c>
      <c r="C93" s="8">
        <f>(SUMIFS(TB!$F$5:$F$504,TB!$E$5:$E$504,Master!$B$31)-SUMIFS(TB!$G$5:$G$504,TB!$E$5:$E$504,Master!$B$31))/RoundingFactor</f>
        <v/>
      </c>
      <c r="D93" s="8">
        <f>(SUMIFS(TB!$H$5:$H$504,TB!$E$5:$E$504,Master!$B$31)-SUMIFS(TB!$I$5:$I$504,TB!$E$5:$E$504,Master!$B$31))/RoundingFactor</f>
        <v/>
      </c>
    </row>
    <row r="95">
      <c r="B95" s="1">
        <f>IF(Master!$I$32="","","Note "&amp;Master!$I$32&amp;": "&amp;Master!$B$32)</f>
        <v/>
      </c>
      <c r="C95">
        <f>IF(Master!$I$32="","",TEXT(Home!$F$10,"DD MMM YYYY"))</f>
        <v/>
      </c>
      <c r="D95">
        <f>IF(Master!$I$32="","",TEXT(Home!$F$11,"DD MMM YYYY"))</f>
        <v/>
      </c>
    </row>
    <row r="96">
      <c r="B96">
        <f>IF(Master!$I$32="","","Total")</f>
        <v/>
      </c>
      <c r="C96" s="8">
        <f>(SUMIFS(TB!$F$5:$F$504,TB!$E$5:$E$504,Master!$B$32)-SUMIFS(TB!$G$5:$G$504,TB!$E$5:$E$504,Master!$B$32))/RoundingFactor</f>
        <v/>
      </c>
      <c r="D96" s="8">
        <f>(SUMIFS(TB!$H$5:$H$504,TB!$E$5:$E$504,Master!$B$32)-SUMIFS(TB!$I$5:$I$504,TB!$E$5:$E$504,Master!$B$32))/RoundingFactor</f>
        <v/>
      </c>
    </row>
    <row r="98">
      <c r="B98" s="1">
        <f>IF(Master!$I$33="","","Note "&amp;Master!$I$33&amp;": "&amp;Master!$B$33)</f>
        <v/>
      </c>
      <c r="C98">
        <f>IF(Master!$I$33="","",TEXT(Home!$F$10,"DD MMM YYYY"))</f>
        <v/>
      </c>
      <c r="D98">
        <f>IF(Master!$I$33="","",TEXT(Home!$F$11,"DD MMM YYYY"))</f>
        <v/>
      </c>
    </row>
    <row r="99">
      <c r="B99">
        <f>IF(Master!$I$33="","","Total")</f>
        <v/>
      </c>
      <c r="C99" s="8">
        <f>(SUMIFS(TB!$F$5:$F$504,TB!$E$5:$E$504,Master!$B$33)-SUMIFS(TB!$G$5:$G$504,TB!$E$5:$E$504,Master!$B$33))/RoundingFactor</f>
        <v/>
      </c>
      <c r="D99" s="8">
        <f>(SUMIFS(TB!$H$5:$H$504,TB!$E$5:$E$504,Master!$B$33)-SUMIFS(TB!$I$5:$I$504,TB!$E$5:$E$504,Master!$B$33))/RoundingFactor</f>
        <v/>
      </c>
    </row>
    <row r="101">
      <c r="B101" s="1">
        <f>IF(Master!$I$34="","","Note "&amp;Master!$I$34&amp;": "&amp;Master!$B$34)</f>
        <v/>
      </c>
      <c r="C101">
        <f>IF(Master!$I$34="","",TEXT(Home!$F$10,"DD MMM YYYY"))</f>
        <v/>
      </c>
      <c r="D101">
        <f>IF(Master!$I$34="","",TEXT(Home!$F$11,"DD MMM YYYY"))</f>
        <v/>
      </c>
    </row>
    <row r="102">
      <c r="B102">
        <f>IF(Master!$I$34="","","Total")</f>
        <v/>
      </c>
      <c r="C102" s="8">
        <f>(SUMIFS(TB!$F$5:$F$504,TB!$E$5:$E$504,Master!$B$34)-SUMIFS(TB!$G$5:$G$504,TB!$E$5:$E$504,Master!$B$34))/RoundingFactor</f>
        <v/>
      </c>
      <c r="D102" s="8">
        <f>(SUMIFS(TB!$H$5:$H$504,TB!$E$5:$E$504,Master!$B$34)-SUMIFS(TB!$I$5:$I$504,TB!$E$5:$E$504,Master!$B$34))/RoundingFactor</f>
        <v/>
      </c>
    </row>
    <row r="104">
      <c r="B104" s="1">
        <f>IF(Master!$I$35="","","Note "&amp;Master!$I$35&amp;": "&amp;Master!$B$35)</f>
        <v/>
      </c>
      <c r="C104">
        <f>IF(Master!$I$35="","",TEXT(Home!$F$10,"DD MMM YYYY"))</f>
        <v/>
      </c>
      <c r="D104">
        <f>IF(Master!$I$35="","",TEXT(Home!$F$11,"DD MMM YYYY"))</f>
        <v/>
      </c>
    </row>
    <row r="105">
      <c r="B105">
        <f>IF(Master!$I$35="","","Total")</f>
        <v/>
      </c>
      <c r="C105" s="8">
        <f>(SUMIFS(TB!$F$5:$F$504,TB!$E$5:$E$504,Master!$B$35)-SUMIFS(TB!$G$5:$G$504,TB!$E$5:$E$504,Master!$B$35))/RoundingFactor</f>
        <v/>
      </c>
      <c r="D105" s="8">
        <f>(SUMIFS(TB!$H$5:$H$504,TB!$E$5:$E$504,Master!$B$35)-SUMIFS(TB!$I$5:$I$504,TB!$E$5:$E$504,Master!$B$35))/RoundingFactor</f>
        <v/>
      </c>
    </row>
    <row r="107">
      <c r="B107" s="1">
        <f>IF(Master!$I$36="","","Note "&amp;Master!$I$36&amp;": "&amp;Master!$B$36)</f>
        <v/>
      </c>
      <c r="C107">
        <f>IF(Master!$I$36="","",TEXT(Home!$F$10,"DD MMM YYYY"))</f>
        <v/>
      </c>
      <c r="D107">
        <f>IF(Master!$I$36="","",TEXT(Home!$F$11,"DD MMM YYYY"))</f>
        <v/>
      </c>
    </row>
    <row r="108">
      <c r="B108">
        <f>IF(Master!$I$36="","","Total")</f>
        <v/>
      </c>
      <c r="C108" s="8">
        <f>(SUMIFS(TB!$F$5:$F$504,TB!$E$5:$E$504,Master!$B$36)-SUMIFS(TB!$G$5:$G$504,TB!$E$5:$E$504,Master!$B$36))/RoundingFactor</f>
        <v/>
      </c>
      <c r="D108" s="8">
        <f>(SUMIFS(TB!$H$5:$H$504,TB!$E$5:$E$504,Master!$B$36)-SUMIFS(TB!$I$5:$I$504,TB!$E$5:$E$504,Master!$B$36))/RoundingFactor</f>
        <v/>
      </c>
    </row>
    <row r="110">
      <c r="B110" s="1">
        <f>IF(Master!$I$37="","","Note "&amp;Master!$I$37&amp;": "&amp;Master!$B$37)</f>
        <v/>
      </c>
      <c r="C110">
        <f>IF(Master!$I$37="","",TEXT(Home!$F$10,"DD MMM YYYY"))</f>
        <v/>
      </c>
      <c r="D110">
        <f>IF(Master!$I$37="","",TEXT(Home!$F$11,"DD MMM YYYY"))</f>
        <v/>
      </c>
    </row>
    <row r="111">
      <c r="B111">
        <f>IF(Master!$I$37="","","Total")</f>
        <v/>
      </c>
      <c r="C111" s="8">
        <f>(SUMIFS(TB!$F$5:$F$504,TB!$E$5:$E$504,Master!$B$37)-SUMIFS(TB!$G$5:$G$504,TB!$E$5:$E$504,Master!$B$37))/RoundingFactor</f>
        <v/>
      </c>
      <c r="D111" s="8">
        <f>(SUMIFS(TB!$H$5:$H$504,TB!$E$5:$E$504,Master!$B$37)-SUMIFS(TB!$I$5:$I$504,TB!$E$5:$E$504,Master!$B$37))/RoundingFactor</f>
        <v/>
      </c>
    </row>
    <row r="113">
      <c r="B113" s="1">
        <f>IF(Master!$I$38="","","Note "&amp;Master!$I$38&amp;": "&amp;Master!$B$38)</f>
        <v/>
      </c>
      <c r="C113">
        <f>IF(Master!$I$38="","",TEXT(Home!$F$10,"DD MMM YYYY"))</f>
        <v/>
      </c>
      <c r="D113">
        <f>IF(Master!$I$38="","",TEXT(Home!$F$11,"DD MMM YYYY"))</f>
        <v/>
      </c>
    </row>
    <row r="114">
      <c r="B114">
        <f>IF(Master!$I$38="","","Total")</f>
        <v/>
      </c>
      <c r="C114" s="8">
        <f>(SUMIFS(TB!$F$5:$F$504,TB!$E$5:$E$504,Master!$B$38)-SUMIFS(TB!$G$5:$G$504,TB!$E$5:$E$504,Master!$B$38))/RoundingFactor</f>
        <v/>
      </c>
      <c r="D114" s="8">
        <f>(SUMIFS(TB!$H$5:$H$504,TB!$E$5:$E$504,Master!$B$38)-SUMIFS(TB!$I$5:$I$504,TB!$E$5:$E$504,Master!$B$38))/RoundingFactor</f>
        <v/>
      </c>
    </row>
    <row r="116">
      <c r="B116" s="1">
        <f>IF(Master!$I$39="","","Note "&amp;Master!$I$39&amp;": "&amp;Master!$B$39)</f>
        <v/>
      </c>
      <c r="C116">
        <f>IF(Master!$I$39="","",TEXT(Home!$F$10,"DD MMM YYYY"))</f>
        <v/>
      </c>
      <c r="D116">
        <f>IF(Master!$I$39="","",TEXT(Home!$F$11,"DD MMM YYYY"))</f>
        <v/>
      </c>
    </row>
    <row r="117">
      <c r="B117">
        <f>IF(Master!$I$39="","","Total")</f>
        <v/>
      </c>
      <c r="C117" s="8">
        <f>(SUMIFS(TB!$F$5:$F$504,TB!$E$5:$E$504,Master!$B$39)-SUMIFS(TB!$G$5:$G$504,TB!$E$5:$E$504,Master!$B$39))/RoundingFactor</f>
        <v/>
      </c>
      <c r="D117" s="8">
        <f>(SUMIFS(TB!$H$5:$H$504,TB!$E$5:$E$504,Master!$B$39)-SUMIFS(TB!$I$5:$I$504,TB!$E$5:$E$504,Master!$B$39))/RoundingFactor</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86"/>
  <sheetViews>
    <sheetView workbookViewId="0">
      <selection activeCell="A1" sqref="A1"/>
    </sheetView>
  </sheetViews>
  <sheetFormatPr baseColWidth="8" defaultRowHeight="15" outlineLevelCol="0"/>
  <cols>
    <col width="22" customWidth="1" min="1" max="1"/>
    <col width="55" customWidth="1" min="2" max="2"/>
    <col width="26" customWidth="1" min="11" max="11"/>
    <col width="45" customWidth="1" min="12" max="12"/>
  </cols>
  <sheetData>
    <row r="1">
      <c r="A1" s="1" t="inlineStr">
        <is>
          <t>Key</t>
        </is>
      </c>
      <c r="B1" s="1" t="inlineStr">
        <is>
          <t>Label</t>
        </is>
      </c>
      <c r="C1" s="1" t="inlineStr">
        <is>
          <t>Statement</t>
        </is>
      </c>
      <c r="D1" s="1" t="inlineStr">
        <is>
          <t>Side</t>
        </is>
      </c>
      <c r="E1" s="1" t="inlineStr">
        <is>
          <t>Section</t>
        </is>
      </c>
      <c r="F1" s="1" t="inlineStr">
        <is>
          <t>Order</t>
        </is>
      </c>
      <c r="G1" s="1" t="inlineStr">
        <is>
          <t>EntityTypes</t>
        </is>
      </c>
      <c r="H1" s="1" t="inlineStr">
        <is>
          <t>UsedFlag</t>
        </is>
      </c>
      <c r="I1" s="1" t="inlineStr">
        <is>
          <t>NoteNo</t>
        </is>
      </c>
      <c r="K1" s="1" t="inlineStr">
        <is>
          <t>Keyword</t>
        </is>
      </c>
      <c r="L1" s="1" t="inlineStr">
        <is>
          <t>GroupLabel</t>
        </is>
      </c>
      <c r="N1" t="inlineStr">
        <is>
          <t>RoundingFactor</t>
        </is>
      </c>
      <c r="O1">
        <f>CHOOSE(MATCH(Home!$F$12,{"Actual","Hundreds","Thousands","Lakhs","Crores","Millions"},0),1,100,1000,100000,10000000,1000000)</f>
        <v/>
      </c>
    </row>
    <row r="2">
      <c r="A2" t="inlineStr">
        <is>
          <t>owners_capital</t>
        </is>
      </c>
      <c r="B2" t="inlineStr">
        <is>
          <t>Proprietor's / Partners' Capital Accounts</t>
        </is>
      </c>
      <c r="C2" t="inlineStr">
        <is>
          <t>BS</t>
        </is>
      </c>
      <c r="D2" t="inlineStr">
        <is>
          <t>EquityLiability</t>
        </is>
      </c>
      <c r="E2" t="inlineStr">
        <is>
          <t>Owners' Fund</t>
        </is>
      </c>
      <c r="F2" t="n">
        <v>10</v>
      </c>
      <c r="G2" t="inlineStr"/>
      <c r="H2">
        <f>IF(COUNTIF(TB!$E$5:$E$504,B2)&gt;0,1,0)</f>
        <v/>
      </c>
      <c r="I2">
        <f>IF(H2=1,SUMPRODUCT(($F$2:$F$39&lt;=F2)*($H$2:$H$39=1)),"")</f>
        <v/>
      </c>
      <c r="K2" t="inlineStr">
        <is>
          <t>capital account</t>
        </is>
      </c>
      <c r="L2" t="inlineStr">
        <is>
          <t>Proprietor's / Partners' Capital Accounts</t>
        </is>
      </c>
    </row>
    <row r="3">
      <c r="A3" t="inlineStr">
        <is>
          <t>reserves_surplus</t>
        </is>
      </c>
      <c r="B3" t="inlineStr">
        <is>
          <t>Reserves and Surplus</t>
        </is>
      </c>
      <c r="C3" t="inlineStr">
        <is>
          <t>BS</t>
        </is>
      </c>
      <c r="D3" t="inlineStr">
        <is>
          <t>EquityLiability</t>
        </is>
      </c>
      <c r="E3" t="inlineStr">
        <is>
          <t>Owners' Fund</t>
        </is>
      </c>
      <c r="F3" t="n">
        <v>20</v>
      </c>
      <c r="G3" t="inlineStr"/>
      <c r="H3">
        <f>IF(COUNTIF(TB!$E$5:$E$504,B3)&gt;0,1,0)</f>
        <v/>
      </c>
      <c r="I3">
        <f>IF(H3=1,SUMPRODUCT(($F$2:$F$39&lt;=F3)*($H$2:$H$39=1)),"")</f>
        <v/>
      </c>
      <c r="K3" t="inlineStr">
        <is>
          <t>proprietor</t>
        </is>
      </c>
      <c r="L3" t="inlineStr">
        <is>
          <t>Proprietor's / Partners' Capital Accounts</t>
        </is>
      </c>
    </row>
    <row r="4">
      <c r="A4" t="inlineStr">
        <is>
          <t>lt_borrowings</t>
        </is>
      </c>
      <c r="B4" t="inlineStr">
        <is>
          <t>Long-term borrowings</t>
        </is>
      </c>
      <c r="C4" t="inlineStr">
        <is>
          <t>BS</t>
        </is>
      </c>
      <c r="D4" t="inlineStr">
        <is>
          <t>EquityLiability</t>
        </is>
      </c>
      <c r="E4" t="inlineStr">
        <is>
          <t>Non-current liabilities</t>
        </is>
      </c>
      <c r="F4" t="n">
        <v>30</v>
      </c>
      <c r="G4" t="inlineStr"/>
      <c r="H4">
        <f>IF(COUNTIF(TB!$E$5:$E$504,B4)&gt;0,1,0)</f>
        <v/>
      </c>
      <c r="I4">
        <f>IF(H4=1,SUMPRODUCT(($F$2:$F$39&lt;=F4)*($H$2:$H$39=1)),"")</f>
        <v/>
      </c>
      <c r="K4" t="inlineStr">
        <is>
          <t>partner</t>
        </is>
      </c>
      <c r="L4" t="inlineStr">
        <is>
          <t>Proprietor's / Partners' Capital Accounts</t>
        </is>
      </c>
    </row>
    <row r="5">
      <c r="A5" t="inlineStr">
        <is>
          <t>deferred_tax_liab</t>
        </is>
      </c>
      <c r="B5" t="inlineStr">
        <is>
          <t>Deferred tax liabilities (net)</t>
        </is>
      </c>
      <c r="C5" t="inlineStr">
        <is>
          <t>BS</t>
        </is>
      </c>
      <c r="D5" t="inlineStr">
        <is>
          <t>EquityLiability</t>
        </is>
      </c>
      <c r="E5" t="inlineStr">
        <is>
          <t>Non-current liabilities</t>
        </is>
      </c>
      <c r="F5" t="n">
        <v>40</v>
      </c>
      <c r="G5" t="inlineStr"/>
      <c r="H5">
        <f>IF(COUNTIF(TB!$E$5:$E$504,B5)&gt;0,1,0)</f>
        <v/>
      </c>
      <c r="I5">
        <f>IF(H5=1,SUMPRODUCT(($F$2:$F$39&lt;=F5)*($H$2:$H$39=1)),"")</f>
        <v/>
      </c>
      <c r="K5" t="inlineStr">
        <is>
          <t>capital</t>
        </is>
      </c>
      <c r="L5" t="inlineStr">
        <is>
          <t>Proprietor's / Partners' Capital Accounts</t>
        </is>
      </c>
    </row>
    <row r="6">
      <c r="A6" t="inlineStr">
        <is>
          <t>other_lt_liabilities</t>
        </is>
      </c>
      <c r="B6" t="inlineStr">
        <is>
          <t>Other long-term liabilities</t>
        </is>
      </c>
      <c r="C6" t="inlineStr">
        <is>
          <t>BS</t>
        </is>
      </c>
      <c r="D6" t="inlineStr">
        <is>
          <t>EquityLiability</t>
        </is>
      </c>
      <c r="E6" t="inlineStr">
        <is>
          <t>Non-current liabilities</t>
        </is>
      </c>
      <c r="F6" t="n">
        <v>50</v>
      </c>
      <c r="G6" t="inlineStr"/>
      <c r="H6">
        <f>IF(COUNTIF(TB!$E$5:$E$504,B6)&gt;0,1,0)</f>
        <v/>
      </c>
      <c r="I6">
        <f>IF(H6=1,SUMPRODUCT(($F$2:$F$39&lt;=F6)*($H$2:$H$39=1)),"")</f>
        <v/>
      </c>
      <c r="K6" t="inlineStr">
        <is>
          <t>reserve</t>
        </is>
      </c>
      <c r="L6" t="inlineStr">
        <is>
          <t>Reserves and Surplus</t>
        </is>
      </c>
    </row>
    <row r="7">
      <c r="A7" t="inlineStr">
        <is>
          <t>lt_provisions</t>
        </is>
      </c>
      <c r="B7" t="inlineStr">
        <is>
          <t>Long-term provisions</t>
        </is>
      </c>
      <c r="C7" t="inlineStr">
        <is>
          <t>BS</t>
        </is>
      </c>
      <c r="D7" t="inlineStr">
        <is>
          <t>EquityLiability</t>
        </is>
      </c>
      <c r="E7" t="inlineStr">
        <is>
          <t>Non-current liabilities</t>
        </is>
      </c>
      <c r="F7" t="n">
        <v>60</v>
      </c>
      <c r="G7" t="inlineStr"/>
      <c r="H7">
        <f>IF(COUNTIF(TB!$E$5:$E$504,B7)&gt;0,1,0)</f>
        <v/>
      </c>
      <c r="I7">
        <f>IF(H7=1,SUMPRODUCT(($F$2:$F$39&lt;=F7)*($H$2:$H$39=1)),"")</f>
        <v/>
      </c>
      <c r="K7" t="inlineStr">
        <is>
          <t>surplus</t>
        </is>
      </c>
      <c r="L7" t="inlineStr">
        <is>
          <t>Reserves and Surplus</t>
        </is>
      </c>
    </row>
    <row r="8">
      <c r="A8" t="inlineStr">
        <is>
          <t>st_borrowings</t>
        </is>
      </c>
      <c r="B8" t="inlineStr">
        <is>
          <t>Short-term borrowings</t>
        </is>
      </c>
      <c r="C8" t="inlineStr">
        <is>
          <t>BS</t>
        </is>
      </c>
      <c r="D8" t="inlineStr">
        <is>
          <t>EquityLiability</t>
        </is>
      </c>
      <c r="E8" t="inlineStr">
        <is>
          <t>Current liabilities</t>
        </is>
      </c>
      <c r="F8" t="n">
        <v>70</v>
      </c>
      <c r="G8" t="inlineStr"/>
      <c r="H8">
        <f>IF(COUNTIF(TB!$E$5:$E$504,B8)&gt;0,1,0)</f>
        <v/>
      </c>
      <c r="I8">
        <f>IF(H8=1,SUMPRODUCT(($F$2:$F$39&lt;=F8)*($H$2:$H$39=1)),"")</f>
        <v/>
      </c>
      <c r="K8" t="inlineStr">
        <is>
          <t>accumulated profit</t>
        </is>
      </c>
      <c r="L8" t="inlineStr">
        <is>
          <t>Reserves and Surplus</t>
        </is>
      </c>
    </row>
    <row r="9">
      <c r="A9" t="inlineStr">
        <is>
          <t>trade_payables_msme</t>
        </is>
      </c>
      <c r="B9" t="inlineStr">
        <is>
          <t>total outstanding dues of micro enterprises and small enterprises</t>
        </is>
      </c>
      <c r="C9" t="inlineStr">
        <is>
          <t>BS</t>
        </is>
      </c>
      <c r="D9" t="inlineStr">
        <is>
          <t>EquityLiability</t>
        </is>
      </c>
      <c r="E9" t="inlineStr">
        <is>
          <t>Current liabilities</t>
        </is>
      </c>
      <c r="F9" t="n">
        <v>80</v>
      </c>
      <c r="G9" t="inlineStr"/>
      <c r="H9">
        <f>IF(COUNTIF(TB!$E$5:$E$504,B9)&gt;0,1,0)</f>
        <v/>
      </c>
      <c r="I9">
        <f>IF(H9=1,SUMPRODUCT(($F$2:$F$39&lt;=F9)*($H$2:$H$39=1)),"")</f>
        <v/>
      </c>
      <c r="K9" t="inlineStr">
        <is>
          <t>term loan</t>
        </is>
      </c>
      <c r="L9" t="inlineStr">
        <is>
          <t>Long-term borrowings</t>
        </is>
      </c>
    </row>
    <row r="10">
      <c r="A10" t="inlineStr">
        <is>
          <t>trade_payables_others</t>
        </is>
      </c>
      <c r="B10" t="inlineStr">
        <is>
          <t>total outstanding dues of creditors other than micro enterprises and small enterprises</t>
        </is>
      </c>
      <c r="C10" t="inlineStr">
        <is>
          <t>BS</t>
        </is>
      </c>
      <c r="D10" t="inlineStr">
        <is>
          <t>EquityLiability</t>
        </is>
      </c>
      <c r="E10" t="inlineStr">
        <is>
          <t>Current liabilities</t>
        </is>
      </c>
      <c r="F10" t="n">
        <v>90</v>
      </c>
      <c r="G10" t="inlineStr"/>
      <c r="H10">
        <f>IF(COUNTIF(TB!$E$5:$E$504,B10)&gt;0,1,0)</f>
        <v/>
      </c>
      <c r="I10">
        <f>IF(H10=1,SUMPRODUCT(($F$2:$F$39&lt;=F10)*($H$2:$H$39=1)),"")</f>
        <v/>
      </c>
      <c r="K10" t="inlineStr">
        <is>
          <t>debenture</t>
        </is>
      </c>
      <c r="L10" t="inlineStr">
        <is>
          <t>Long-term borrowings</t>
        </is>
      </c>
    </row>
    <row r="11">
      <c r="A11" t="inlineStr">
        <is>
          <t>other_current_liabilities</t>
        </is>
      </c>
      <c r="B11" t="inlineStr">
        <is>
          <t>Other current liabilities</t>
        </is>
      </c>
      <c r="C11" t="inlineStr">
        <is>
          <t>BS</t>
        </is>
      </c>
      <c r="D11" t="inlineStr">
        <is>
          <t>EquityLiability</t>
        </is>
      </c>
      <c r="E11" t="inlineStr">
        <is>
          <t>Current liabilities</t>
        </is>
      </c>
      <c r="F11" t="n">
        <v>100</v>
      </c>
      <c r="G11" t="inlineStr"/>
      <c r="H11">
        <f>IF(COUNTIF(TB!$E$5:$E$504,B11)&gt;0,1,0)</f>
        <v/>
      </c>
      <c r="I11">
        <f>IF(H11=1,SUMPRODUCT(($F$2:$F$39&lt;=F11)*($H$2:$H$39=1)),"")</f>
        <v/>
      </c>
      <c r="K11" t="inlineStr">
        <is>
          <t>vehicle loan</t>
        </is>
      </c>
      <c r="L11" t="inlineStr">
        <is>
          <t>Long-term borrowings</t>
        </is>
      </c>
    </row>
    <row r="12">
      <c r="A12" t="inlineStr">
        <is>
          <t>st_provisions</t>
        </is>
      </c>
      <c r="B12" t="inlineStr">
        <is>
          <t>Short-term provisions</t>
        </is>
      </c>
      <c r="C12" t="inlineStr">
        <is>
          <t>BS</t>
        </is>
      </c>
      <c r="D12" t="inlineStr">
        <is>
          <t>EquityLiability</t>
        </is>
      </c>
      <c r="E12" t="inlineStr">
        <is>
          <t>Current liabilities</t>
        </is>
      </c>
      <c r="F12" t="n">
        <v>110</v>
      </c>
      <c r="G12" t="inlineStr"/>
      <c r="H12">
        <f>IF(COUNTIF(TB!$E$5:$E$504,B12)&gt;0,1,0)</f>
        <v/>
      </c>
      <c r="I12">
        <f>IF(H12=1,SUMPRODUCT(($F$2:$F$39&lt;=F12)*($H$2:$H$39=1)),"")</f>
        <v/>
      </c>
      <c r="K12" t="inlineStr">
        <is>
          <t>housing loan</t>
        </is>
      </c>
      <c r="L12" t="inlineStr">
        <is>
          <t>Long-term borrowings</t>
        </is>
      </c>
    </row>
    <row r="13">
      <c r="A13" t="inlineStr">
        <is>
          <t>ppe</t>
        </is>
      </c>
      <c r="B13" t="inlineStr">
        <is>
          <t>Property, Plant and Equipment</t>
        </is>
      </c>
      <c r="C13" t="inlineStr">
        <is>
          <t>BS</t>
        </is>
      </c>
      <c r="D13" t="inlineStr">
        <is>
          <t>Asset</t>
        </is>
      </c>
      <c r="E13" t="inlineStr">
        <is>
          <t>Non-current assets</t>
        </is>
      </c>
      <c r="F13" t="n">
        <v>120</v>
      </c>
      <c r="G13" t="inlineStr"/>
      <c r="H13">
        <f>IF(COUNTIF(TB!$E$5:$E$504,B13)&gt;0,1,0)</f>
        <v/>
      </c>
      <c r="I13">
        <f>IF(H13=1,SUMPRODUCT(($F$2:$F$39&lt;=F13)*($H$2:$H$39=1)),"")</f>
        <v/>
      </c>
      <c r="K13" t="inlineStr">
        <is>
          <t>secured loan</t>
        </is>
      </c>
      <c r="L13" t="inlineStr">
        <is>
          <t>Long-term borrowings</t>
        </is>
      </c>
    </row>
    <row r="14">
      <c r="A14" t="inlineStr">
        <is>
          <t>cwip</t>
        </is>
      </c>
      <c r="B14" t="inlineStr">
        <is>
          <t>Capital work-in-progress</t>
        </is>
      </c>
      <c r="C14" t="inlineStr">
        <is>
          <t>BS</t>
        </is>
      </c>
      <c r="D14" t="inlineStr">
        <is>
          <t>Asset</t>
        </is>
      </c>
      <c r="E14" t="inlineStr">
        <is>
          <t>Non-current assets</t>
        </is>
      </c>
      <c r="F14" t="n">
        <v>130</v>
      </c>
      <c r="G14" t="inlineStr"/>
      <c r="H14">
        <f>IF(COUNTIF(TB!$E$5:$E$504,B14)&gt;0,1,0)</f>
        <v/>
      </c>
      <c r="I14">
        <f>IF(H14=1,SUMPRODUCT(($F$2:$F$39&lt;=F14)*($H$2:$H$39=1)),"")</f>
        <v/>
      </c>
      <c r="K14" t="inlineStr">
        <is>
          <t>unsecured loan</t>
        </is>
      </c>
      <c r="L14" t="inlineStr">
        <is>
          <t>Long-term borrowings</t>
        </is>
      </c>
    </row>
    <row r="15">
      <c r="A15" t="inlineStr">
        <is>
          <t>investment_property</t>
        </is>
      </c>
      <c r="B15" t="inlineStr">
        <is>
          <t>Investment Property</t>
        </is>
      </c>
      <c r="C15" t="inlineStr">
        <is>
          <t>BS</t>
        </is>
      </c>
      <c r="D15" t="inlineStr">
        <is>
          <t>Asset</t>
        </is>
      </c>
      <c r="E15" t="inlineStr">
        <is>
          <t>Non-current assets</t>
        </is>
      </c>
      <c r="F15" t="n">
        <v>140</v>
      </c>
      <c r="G15" t="inlineStr"/>
      <c r="H15">
        <f>IF(COUNTIF(TB!$E$5:$E$504,B15)&gt;0,1,0)</f>
        <v/>
      </c>
      <c r="I15">
        <f>IF(H15=1,SUMPRODUCT(($F$2:$F$39&lt;=F15)*($H$2:$H$39=1)),"")</f>
        <v/>
      </c>
      <c r="K15" t="inlineStr">
        <is>
          <t>loans (liability)</t>
        </is>
      </c>
      <c r="L15" t="inlineStr">
        <is>
          <t>Long-term borrowings</t>
        </is>
      </c>
    </row>
    <row r="16">
      <c r="A16" t="inlineStr">
        <is>
          <t>goodwill</t>
        </is>
      </c>
      <c r="B16" t="inlineStr">
        <is>
          <t>Goodwill</t>
        </is>
      </c>
      <c r="C16" t="inlineStr">
        <is>
          <t>BS</t>
        </is>
      </c>
      <c r="D16" t="inlineStr">
        <is>
          <t>Asset</t>
        </is>
      </c>
      <c r="E16" t="inlineStr">
        <is>
          <t>Non-current assets</t>
        </is>
      </c>
      <c r="F16" t="n">
        <v>150</v>
      </c>
      <c r="G16" t="inlineStr"/>
      <c r="H16">
        <f>IF(COUNTIF(TB!$E$5:$E$504,B16)&gt;0,1,0)</f>
        <v/>
      </c>
      <c r="I16">
        <f>IF(H16=1,SUMPRODUCT(($F$2:$F$39&lt;=F16)*($H$2:$H$39=1)),"")</f>
        <v/>
      </c>
      <c r="K16" t="inlineStr">
        <is>
          <t>deferred tax liab</t>
        </is>
      </c>
      <c r="L16" t="inlineStr">
        <is>
          <t>Deferred tax liabilities (net)</t>
        </is>
      </c>
    </row>
    <row r="17">
      <c r="A17" t="inlineStr">
        <is>
          <t>intangible_assets</t>
        </is>
      </c>
      <c r="B17" t="inlineStr">
        <is>
          <t>Other Intangible assets</t>
        </is>
      </c>
      <c r="C17" t="inlineStr">
        <is>
          <t>BS</t>
        </is>
      </c>
      <c r="D17" t="inlineStr">
        <is>
          <t>Asset</t>
        </is>
      </c>
      <c r="E17" t="inlineStr">
        <is>
          <t>Non-current assets</t>
        </is>
      </c>
      <c r="F17" t="n">
        <v>160</v>
      </c>
      <c r="G17" t="inlineStr"/>
      <c r="H17">
        <f>IF(COUNTIF(TB!$E$5:$E$504,B17)&gt;0,1,0)</f>
        <v/>
      </c>
      <c r="I17">
        <f>IF(H17=1,SUMPRODUCT(($F$2:$F$39&lt;=F17)*($H$2:$H$39=1)),"")</f>
        <v/>
      </c>
      <c r="K17" t="inlineStr">
        <is>
          <t>security deposit received</t>
        </is>
      </c>
      <c r="L17" t="inlineStr">
        <is>
          <t>Other long-term liabilities</t>
        </is>
      </c>
    </row>
    <row r="18">
      <c r="A18" t="inlineStr">
        <is>
          <t>nc_investments</t>
        </is>
      </c>
      <c r="B18" t="inlineStr">
        <is>
          <t>Non-current investments</t>
        </is>
      </c>
      <c r="C18" t="inlineStr">
        <is>
          <t>BS</t>
        </is>
      </c>
      <c r="D18" t="inlineStr">
        <is>
          <t>Asset</t>
        </is>
      </c>
      <c r="E18" t="inlineStr">
        <is>
          <t>Non-current assets</t>
        </is>
      </c>
      <c r="F18" t="n">
        <v>170</v>
      </c>
      <c r="G18" t="inlineStr"/>
      <c r="H18">
        <f>IF(COUNTIF(TB!$E$5:$E$504,B18)&gt;0,1,0)</f>
        <v/>
      </c>
      <c r="I18">
        <f>IF(H18=1,SUMPRODUCT(($F$2:$F$39&lt;=F18)*($H$2:$H$39=1)),"")</f>
        <v/>
      </c>
      <c r="K18" t="inlineStr">
        <is>
          <t>retention money</t>
        </is>
      </c>
      <c r="L18" t="inlineStr">
        <is>
          <t>Other long-term liabilities</t>
        </is>
      </c>
    </row>
    <row r="19">
      <c r="A19" t="inlineStr">
        <is>
          <t>deferred_tax_asset</t>
        </is>
      </c>
      <c r="B19" t="inlineStr">
        <is>
          <t>Deferred tax assets (net)</t>
        </is>
      </c>
      <c r="C19" t="inlineStr">
        <is>
          <t>BS</t>
        </is>
      </c>
      <c r="D19" t="inlineStr">
        <is>
          <t>Asset</t>
        </is>
      </c>
      <c r="E19" t="inlineStr">
        <is>
          <t>Non-current assets</t>
        </is>
      </c>
      <c r="F19" t="n">
        <v>180</v>
      </c>
      <c r="G19" t="inlineStr"/>
      <c r="H19">
        <f>IF(COUNTIF(TB!$E$5:$E$504,B19)&gt;0,1,0)</f>
        <v/>
      </c>
      <c r="I19">
        <f>IF(H19=1,SUMPRODUCT(($F$2:$F$39&lt;=F19)*($H$2:$H$39=1)),"")</f>
        <v/>
      </c>
      <c r="K19" t="inlineStr">
        <is>
          <t>provision for gratuity</t>
        </is>
      </c>
      <c r="L19" t="inlineStr">
        <is>
          <t>Long-term provisions</t>
        </is>
      </c>
    </row>
    <row r="20">
      <c r="A20" t="inlineStr">
        <is>
          <t>lt_loans_advances</t>
        </is>
      </c>
      <c r="B20" t="inlineStr">
        <is>
          <t>Long-term loans and advances</t>
        </is>
      </c>
      <c r="C20" t="inlineStr">
        <is>
          <t>BS</t>
        </is>
      </c>
      <c r="D20" t="inlineStr">
        <is>
          <t>Asset</t>
        </is>
      </c>
      <c r="E20" t="inlineStr">
        <is>
          <t>Non-current assets</t>
        </is>
      </c>
      <c r="F20" t="n">
        <v>190</v>
      </c>
      <c r="G20" t="inlineStr"/>
      <c r="H20">
        <f>IF(COUNTIF(TB!$E$5:$E$504,B20)&gt;0,1,0)</f>
        <v/>
      </c>
      <c r="I20">
        <f>IF(H20=1,SUMPRODUCT(($F$2:$F$39&lt;=F20)*($H$2:$H$39=1)),"")</f>
        <v/>
      </c>
      <c r="K20" t="inlineStr">
        <is>
          <t>provision for leave</t>
        </is>
      </c>
      <c r="L20" t="inlineStr">
        <is>
          <t>Long-term provisions</t>
        </is>
      </c>
    </row>
    <row r="21">
      <c r="A21" t="inlineStr">
        <is>
          <t>other_nc_assets</t>
        </is>
      </c>
      <c r="B21" t="inlineStr">
        <is>
          <t>Other non-current assets</t>
        </is>
      </c>
      <c r="C21" t="inlineStr">
        <is>
          <t>BS</t>
        </is>
      </c>
      <c r="D21" t="inlineStr">
        <is>
          <t>Asset</t>
        </is>
      </c>
      <c r="E21" t="inlineStr">
        <is>
          <t>Non-current assets</t>
        </is>
      </c>
      <c r="F21" t="n">
        <v>200</v>
      </c>
      <c r="G21" t="inlineStr"/>
      <c r="H21">
        <f>IF(COUNTIF(TB!$E$5:$E$504,B21)&gt;0,1,0)</f>
        <v/>
      </c>
      <c r="I21">
        <f>IF(H21=1,SUMPRODUCT(($F$2:$F$39&lt;=F21)*($H$2:$H$39=1)),"")</f>
        <v/>
      </c>
      <c r="K21" t="inlineStr">
        <is>
          <t>cash credit</t>
        </is>
      </c>
      <c r="L21" t="inlineStr">
        <is>
          <t>Short-term borrowings</t>
        </is>
      </c>
    </row>
    <row r="22">
      <c r="A22" t="inlineStr">
        <is>
          <t>current_investments</t>
        </is>
      </c>
      <c r="B22" t="inlineStr">
        <is>
          <t>Current investments</t>
        </is>
      </c>
      <c r="C22" t="inlineStr">
        <is>
          <t>BS</t>
        </is>
      </c>
      <c r="D22" t="inlineStr">
        <is>
          <t>Asset</t>
        </is>
      </c>
      <c r="E22" t="inlineStr">
        <is>
          <t>Current assets</t>
        </is>
      </c>
      <c r="F22" t="n">
        <v>210</v>
      </c>
      <c r="G22" t="inlineStr"/>
      <c r="H22">
        <f>IF(COUNTIF(TB!$E$5:$E$504,B22)&gt;0,1,0)</f>
        <v/>
      </c>
      <c r="I22">
        <f>IF(H22=1,SUMPRODUCT(($F$2:$F$39&lt;=F22)*($H$2:$H$39=1)),"")</f>
        <v/>
      </c>
      <c r="K22" t="inlineStr">
        <is>
          <t>overdraft</t>
        </is>
      </c>
      <c r="L22" t="inlineStr">
        <is>
          <t>Short-term borrowings</t>
        </is>
      </c>
    </row>
    <row r="23">
      <c r="A23" t="inlineStr">
        <is>
          <t>inventories</t>
        </is>
      </c>
      <c r="B23" t="inlineStr">
        <is>
          <t>Inventories</t>
        </is>
      </c>
      <c r="C23" t="inlineStr">
        <is>
          <t>BS</t>
        </is>
      </c>
      <c r="D23" t="inlineStr">
        <is>
          <t>Asset</t>
        </is>
      </c>
      <c r="E23" t="inlineStr">
        <is>
          <t>Current assets</t>
        </is>
      </c>
      <c r="F23" t="n">
        <v>220</v>
      </c>
      <c r="G23" t="inlineStr"/>
      <c r="H23">
        <f>IF(COUNTIF(TB!$E$5:$E$504,B23)&gt;0,1,0)</f>
        <v/>
      </c>
      <c r="I23">
        <f>IF(H23=1,SUMPRODUCT(($F$2:$F$39&lt;=F23)*($H$2:$H$39=1)),"")</f>
        <v/>
      </c>
      <c r="K23" t="inlineStr">
        <is>
          <t>bank od</t>
        </is>
      </c>
      <c r="L23" t="inlineStr">
        <is>
          <t>Short-term borrowings</t>
        </is>
      </c>
    </row>
    <row r="24">
      <c r="A24" t="inlineStr">
        <is>
          <t>trade_receivables</t>
        </is>
      </c>
      <c r="B24" t="inlineStr">
        <is>
          <t>Trade receivables</t>
        </is>
      </c>
      <c r="C24" t="inlineStr">
        <is>
          <t>BS</t>
        </is>
      </c>
      <c r="D24" t="inlineStr">
        <is>
          <t>Asset</t>
        </is>
      </c>
      <c r="E24" t="inlineStr">
        <is>
          <t>Current assets</t>
        </is>
      </c>
      <c r="F24" t="n">
        <v>230</v>
      </c>
      <c r="G24" t="inlineStr"/>
      <c r="H24">
        <f>IF(COUNTIF(TB!$E$5:$E$504,B24)&gt;0,1,0)</f>
        <v/>
      </c>
      <c r="I24">
        <f>IF(H24=1,SUMPRODUCT(($F$2:$F$39&lt;=F24)*($H$2:$H$39=1)),"")</f>
        <v/>
      </c>
      <c r="K24" t="inlineStr">
        <is>
          <t>working capital loan</t>
        </is>
      </c>
      <c r="L24" t="inlineStr">
        <is>
          <t>Short-term borrowings</t>
        </is>
      </c>
    </row>
    <row r="25">
      <c r="A25" t="inlineStr">
        <is>
          <t>cash_and_bank</t>
        </is>
      </c>
      <c r="B25" t="inlineStr">
        <is>
          <t>Cash and cash equivalents</t>
        </is>
      </c>
      <c r="C25" t="inlineStr">
        <is>
          <t>BS</t>
        </is>
      </c>
      <c r="D25" t="inlineStr">
        <is>
          <t>Asset</t>
        </is>
      </c>
      <c r="E25" t="inlineStr">
        <is>
          <t>Current assets</t>
        </is>
      </c>
      <c r="F25" t="n">
        <v>240</v>
      </c>
      <c r="G25" t="inlineStr"/>
      <c r="H25">
        <f>IF(COUNTIF(TB!$E$5:$E$504,B25)&gt;0,1,0)</f>
        <v/>
      </c>
      <c r="I25">
        <f>IF(H25=1,SUMPRODUCT(($F$2:$F$39&lt;=F25)*($H$2:$H$39=1)),"")</f>
        <v/>
      </c>
      <c r="K25" t="inlineStr">
        <is>
          <t>short term loan</t>
        </is>
      </c>
      <c r="L25" t="inlineStr">
        <is>
          <t>Short-term borrowings</t>
        </is>
      </c>
    </row>
    <row r="26">
      <c r="A26" t="inlineStr">
        <is>
          <t>st_loans_advances</t>
        </is>
      </c>
      <c r="B26" t="inlineStr">
        <is>
          <t>Short-term loans and advances</t>
        </is>
      </c>
      <c r="C26" t="inlineStr">
        <is>
          <t>BS</t>
        </is>
      </c>
      <c r="D26" t="inlineStr">
        <is>
          <t>Asset</t>
        </is>
      </c>
      <c r="E26" t="inlineStr">
        <is>
          <t>Current assets</t>
        </is>
      </c>
      <c r="F26" t="n">
        <v>250</v>
      </c>
      <c r="G26" t="inlineStr"/>
      <c r="H26">
        <f>IF(COUNTIF(TB!$E$5:$E$504,B26)&gt;0,1,0)</f>
        <v/>
      </c>
      <c r="I26">
        <f>IF(H26=1,SUMPRODUCT(($F$2:$F$39&lt;=F26)*($H$2:$H$39=1)),"")</f>
        <v/>
      </c>
      <c r="K26" t="inlineStr">
        <is>
          <t>short-term loan</t>
        </is>
      </c>
      <c r="L26" t="inlineStr">
        <is>
          <t>Short-term borrowings</t>
        </is>
      </c>
    </row>
    <row r="27">
      <c r="A27" t="inlineStr">
        <is>
          <t>other_current_assets</t>
        </is>
      </c>
      <c r="B27" t="inlineStr">
        <is>
          <t>Other current assets</t>
        </is>
      </c>
      <c r="C27" t="inlineStr">
        <is>
          <t>BS</t>
        </is>
      </c>
      <c r="D27" t="inlineStr">
        <is>
          <t>Asset</t>
        </is>
      </c>
      <c r="E27" t="inlineStr">
        <is>
          <t>Current assets</t>
        </is>
      </c>
      <c r="F27" t="n">
        <v>260</v>
      </c>
      <c r="G27" t="inlineStr"/>
      <c r="H27">
        <f>IF(COUNTIF(TB!$E$5:$E$504,B27)&gt;0,1,0)</f>
        <v/>
      </c>
      <c r="I27">
        <f>IF(H27=1,SUMPRODUCT(($F$2:$F$39&lt;=F27)*($H$2:$H$39=1)),"")</f>
        <v/>
      </c>
      <c r="K27" t="inlineStr">
        <is>
          <t>sundry creditor</t>
        </is>
      </c>
      <c r="L27" t="inlineStr">
        <is>
          <t>total outstanding dues of creditors other than micro enterprises and small enterprises</t>
        </is>
      </c>
    </row>
    <row r="28">
      <c r="A28" t="inlineStr">
        <is>
          <t>revenue_from_operations</t>
        </is>
      </c>
      <c r="B28" t="inlineStr">
        <is>
          <t>Revenue from operations</t>
        </is>
      </c>
      <c r="C28" t="inlineStr">
        <is>
          <t>PL</t>
        </is>
      </c>
      <c r="D28" t="inlineStr">
        <is>
          <t>Income</t>
        </is>
      </c>
      <c r="E28" t="inlineStr">
        <is>
          <t>Income</t>
        </is>
      </c>
      <c r="F28" t="n">
        <v>300</v>
      </c>
      <c r="G28" t="inlineStr"/>
      <c r="H28">
        <f>IF(COUNTIF(TB!$E$5:$E$504,B28)&gt;0,1,0)</f>
        <v/>
      </c>
      <c r="I28">
        <f>IF(H28=1,SUMPRODUCT(($F$2:$F$39&lt;=F28)*($H$2:$H$39=1)),"")</f>
        <v/>
      </c>
      <c r="K28" t="inlineStr">
        <is>
          <t>trade payable</t>
        </is>
      </c>
      <c r="L28" t="inlineStr">
        <is>
          <t>total outstanding dues of creditors other than micro enterprises and small enterprises</t>
        </is>
      </c>
    </row>
    <row r="29">
      <c r="A29" t="inlineStr">
        <is>
          <t>other_income</t>
        </is>
      </c>
      <c r="B29" t="inlineStr">
        <is>
          <t>Other income</t>
        </is>
      </c>
      <c r="C29" t="inlineStr">
        <is>
          <t>PL</t>
        </is>
      </c>
      <c r="D29" t="inlineStr">
        <is>
          <t>Income</t>
        </is>
      </c>
      <c r="E29" t="inlineStr">
        <is>
          <t>Income</t>
        </is>
      </c>
      <c r="F29" t="n">
        <v>310</v>
      </c>
      <c r="G29" t="inlineStr"/>
      <c r="H29">
        <f>IF(COUNTIF(TB!$E$5:$E$504,B29)&gt;0,1,0)</f>
        <v/>
      </c>
      <c r="I29">
        <f>IF(H29=1,SUMPRODUCT(($F$2:$F$39&lt;=F29)*($H$2:$H$39=1)),"")</f>
        <v/>
      </c>
      <c r="K29" t="inlineStr">
        <is>
          <t>creditors for</t>
        </is>
      </c>
      <c r="L29" t="inlineStr">
        <is>
          <t>total outstanding dues of creditors other than micro enterprises and small enterprises</t>
        </is>
      </c>
    </row>
    <row r="30">
      <c r="A30" t="inlineStr">
        <is>
          <t>cost_of_materials</t>
        </is>
      </c>
      <c r="B30" t="inlineStr">
        <is>
          <t>Cost of materials consumed</t>
        </is>
      </c>
      <c r="C30" t="inlineStr">
        <is>
          <t>PL</t>
        </is>
      </c>
      <c r="D30" t="inlineStr">
        <is>
          <t>Expense</t>
        </is>
      </c>
      <c r="E30" t="inlineStr">
        <is>
          <t>Expenses</t>
        </is>
      </c>
      <c r="F30" t="n">
        <v>320</v>
      </c>
      <c r="G30" t="inlineStr"/>
      <c r="H30">
        <f>IF(COUNTIF(TB!$E$5:$E$504,B30)&gt;0,1,0)</f>
        <v/>
      </c>
      <c r="I30">
        <f>IF(H30=1,SUMPRODUCT(($F$2:$F$39&lt;=F30)*($H$2:$H$39=1)),"")</f>
        <v/>
      </c>
      <c r="K30" t="inlineStr">
        <is>
          <t>creditors</t>
        </is>
      </c>
      <c r="L30" t="inlineStr">
        <is>
          <t>total outstanding dues of creditors other than micro enterprises and small enterprises</t>
        </is>
      </c>
    </row>
    <row r="31">
      <c r="A31" t="inlineStr">
        <is>
          <t>purchases_stock_in_trade</t>
        </is>
      </c>
      <c r="B31" t="inlineStr">
        <is>
          <t>Purchases of Stock-in-Trade</t>
        </is>
      </c>
      <c r="C31" t="inlineStr">
        <is>
          <t>PL</t>
        </is>
      </c>
      <c r="D31" t="inlineStr">
        <is>
          <t>Expense</t>
        </is>
      </c>
      <c r="E31" t="inlineStr">
        <is>
          <t>Expenses</t>
        </is>
      </c>
      <c r="F31" t="n">
        <v>330</v>
      </c>
      <c r="G31" t="inlineStr"/>
      <c r="H31">
        <f>IF(COUNTIF(TB!$E$5:$E$504,B31)&gt;0,1,0)</f>
        <v/>
      </c>
      <c r="I31">
        <f>IF(H31=1,SUMPRODUCT(($F$2:$F$39&lt;=F31)*($H$2:$H$39=1)),"")</f>
        <v/>
      </c>
      <c r="K31" t="inlineStr">
        <is>
          <t>payable</t>
        </is>
      </c>
      <c r="L31" t="inlineStr">
        <is>
          <t>total outstanding dues of creditors other than micro enterprises and small enterprises</t>
        </is>
      </c>
    </row>
    <row r="32">
      <c r="A32" t="inlineStr">
        <is>
          <t>changes_in_inventories</t>
        </is>
      </c>
      <c r="B32" t="inlineStr">
        <is>
          <t>Changes in inventories of finished goods, work-in-progress and stock-in-trade</t>
        </is>
      </c>
      <c r="C32" t="inlineStr">
        <is>
          <t>PL</t>
        </is>
      </c>
      <c r="D32" t="inlineStr">
        <is>
          <t>Expense</t>
        </is>
      </c>
      <c r="E32" t="inlineStr">
        <is>
          <t>Expenses</t>
        </is>
      </c>
      <c r="F32" t="n">
        <v>340</v>
      </c>
      <c r="G32" t="inlineStr"/>
      <c r="H32">
        <f>IF(COUNTIF(TB!$E$5:$E$504,B32)&gt;0,1,0)</f>
        <v/>
      </c>
      <c r="I32">
        <f>IF(H32=1,SUMPRODUCT(($F$2:$F$39&lt;=F32)*($H$2:$H$39=1)),"")</f>
        <v/>
      </c>
      <c r="K32" t="inlineStr">
        <is>
          <t>outstanding expense</t>
        </is>
      </c>
      <c r="L32" t="inlineStr">
        <is>
          <t>Other current liabilities</t>
        </is>
      </c>
    </row>
    <row r="33">
      <c r="A33" t="inlineStr">
        <is>
          <t>employee_benefits</t>
        </is>
      </c>
      <c r="B33" t="inlineStr">
        <is>
          <t>Employee benefits expense</t>
        </is>
      </c>
      <c r="C33" t="inlineStr">
        <is>
          <t>PL</t>
        </is>
      </c>
      <c r="D33" t="inlineStr">
        <is>
          <t>Expense</t>
        </is>
      </c>
      <c r="E33" t="inlineStr">
        <is>
          <t>Expenses</t>
        </is>
      </c>
      <c r="F33" t="n">
        <v>350</v>
      </c>
      <c r="G33" t="inlineStr"/>
      <c r="H33">
        <f>IF(COUNTIF(TB!$E$5:$E$504,B33)&gt;0,1,0)</f>
        <v/>
      </c>
      <c r="I33">
        <f>IF(H33=1,SUMPRODUCT(($F$2:$F$39&lt;=F33)*($H$2:$H$39=1)),"")</f>
        <v/>
      </c>
      <c r="K33" t="inlineStr">
        <is>
          <t>duties</t>
        </is>
      </c>
      <c r="L33" t="inlineStr">
        <is>
          <t>Other current liabilities</t>
        </is>
      </c>
    </row>
    <row r="34">
      <c r="A34" t="inlineStr">
        <is>
          <t>finance_costs</t>
        </is>
      </c>
      <c r="B34" t="inlineStr">
        <is>
          <t>Finance costs</t>
        </is>
      </c>
      <c r="C34" t="inlineStr">
        <is>
          <t>PL</t>
        </is>
      </c>
      <c r="D34" t="inlineStr">
        <is>
          <t>Expense</t>
        </is>
      </c>
      <c r="E34" t="inlineStr">
        <is>
          <t>Expenses</t>
        </is>
      </c>
      <c r="F34" t="n">
        <v>360</v>
      </c>
      <c r="G34" t="inlineStr"/>
      <c r="H34">
        <f>IF(COUNTIF(TB!$E$5:$E$504,B34)&gt;0,1,0)</f>
        <v/>
      </c>
      <c r="I34">
        <f>IF(H34=1,SUMPRODUCT(($F$2:$F$39&lt;=F34)*($H$2:$H$39=1)),"")</f>
        <v/>
      </c>
      <c r="K34" t="inlineStr">
        <is>
          <t>tax payable</t>
        </is>
      </c>
      <c r="L34" t="inlineStr">
        <is>
          <t>Other current liabilities</t>
        </is>
      </c>
    </row>
    <row r="35">
      <c r="A35" t="inlineStr">
        <is>
          <t>depreciation_amortization</t>
        </is>
      </c>
      <c r="B35" t="inlineStr">
        <is>
          <t>Depreciation and amortization expense</t>
        </is>
      </c>
      <c r="C35" t="inlineStr">
        <is>
          <t>PL</t>
        </is>
      </c>
      <c r="D35" t="inlineStr">
        <is>
          <t>Expense</t>
        </is>
      </c>
      <c r="E35" t="inlineStr">
        <is>
          <t>Expenses</t>
        </is>
      </c>
      <c r="F35" t="n">
        <v>370</v>
      </c>
      <c r="G35" t="inlineStr"/>
      <c r="H35">
        <f>IF(COUNTIF(TB!$E$5:$E$504,B35)&gt;0,1,0)</f>
        <v/>
      </c>
      <c r="I35">
        <f>IF(H35=1,SUMPRODUCT(($F$2:$F$39&lt;=F35)*($H$2:$H$39=1)),"")</f>
        <v/>
      </c>
      <c r="K35" t="inlineStr">
        <is>
          <t>tds payable</t>
        </is>
      </c>
      <c r="L35" t="inlineStr">
        <is>
          <t>Other current liabilities</t>
        </is>
      </c>
    </row>
    <row r="36">
      <c r="A36" t="inlineStr">
        <is>
          <t>other_expenses</t>
        </is>
      </c>
      <c r="B36" t="inlineStr">
        <is>
          <t>Other expenses</t>
        </is>
      </c>
      <c r="C36" t="inlineStr">
        <is>
          <t>PL</t>
        </is>
      </c>
      <c r="D36" t="inlineStr">
        <is>
          <t>Expense</t>
        </is>
      </c>
      <c r="E36" t="inlineStr">
        <is>
          <t>Expenses</t>
        </is>
      </c>
      <c r="F36" t="n">
        <v>380</v>
      </c>
      <c r="G36" t="inlineStr"/>
      <c r="H36">
        <f>IF(COUNTIF(TB!$E$5:$E$504,B36)&gt;0,1,0)</f>
        <v/>
      </c>
      <c r="I36">
        <f>IF(H36=1,SUMPRODUCT(($F$2:$F$39&lt;=F36)*($H$2:$H$39=1)),"")</f>
        <v/>
      </c>
      <c r="K36" t="inlineStr">
        <is>
          <t>gst payable</t>
        </is>
      </c>
      <c r="L36" t="inlineStr">
        <is>
          <t>Other current liabilities</t>
        </is>
      </c>
    </row>
    <row r="37">
      <c r="A37" t="inlineStr">
        <is>
          <t>partners_remuneration</t>
        </is>
      </c>
      <c r="B37" t="inlineStr">
        <is>
          <t>Remuneration and Interest to Partners</t>
        </is>
      </c>
      <c r="C37" t="inlineStr">
        <is>
          <t>PL</t>
        </is>
      </c>
      <c r="D37" t="inlineStr">
        <is>
          <t>Expense</t>
        </is>
      </c>
      <c r="E37" t="inlineStr">
        <is>
          <t>Profit Appropriation</t>
        </is>
      </c>
      <c r="F37" t="n">
        <v>390</v>
      </c>
      <c r="G37" t="inlineStr">
        <is>
          <t>partnership</t>
        </is>
      </c>
      <c r="H37">
        <f>IF(COUNTIF(TB!$E$5:$E$504,B37)&gt;0,1,0)</f>
        <v/>
      </c>
      <c r="I37">
        <f>IF(H37=1,SUMPRODUCT(($F$2:$F$39&lt;=F37)*($H$2:$H$39=1)),"")</f>
        <v/>
      </c>
      <c r="K37" t="inlineStr">
        <is>
          <t>statutory dues</t>
        </is>
      </c>
      <c r="L37" t="inlineStr">
        <is>
          <t>Other current liabilities</t>
        </is>
      </c>
    </row>
    <row r="38">
      <c r="A38" t="inlineStr">
        <is>
          <t>current_tax</t>
        </is>
      </c>
      <c r="B38" t="inlineStr">
        <is>
          <t>Current tax</t>
        </is>
      </c>
      <c r="C38" t="inlineStr">
        <is>
          <t>PL</t>
        </is>
      </c>
      <c r="D38" t="inlineStr">
        <is>
          <t>Expense</t>
        </is>
      </c>
      <c r="E38" t="inlineStr">
        <is>
          <t>Tax Expense</t>
        </is>
      </c>
      <c r="F38" t="n">
        <v>400</v>
      </c>
      <c r="G38" t="inlineStr">
        <is>
          <t>partnership,llp</t>
        </is>
      </c>
      <c r="H38">
        <f>IF(COUNTIF(TB!$E$5:$E$504,B38)&gt;0,1,0)</f>
        <v/>
      </c>
      <c r="I38">
        <f>IF(H38=1,SUMPRODUCT(($F$2:$F$39&lt;=F38)*($H$2:$H$39=1)),"")</f>
        <v/>
      </c>
      <c r="K38" t="inlineStr">
        <is>
          <t>advance from customer</t>
        </is>
      </c>
      <c r="L38" t="inlineStr">
        <is>
          <t>Other current liabilities</t>
        </is>
      </c>
    </row>
    <row r="39">
      <c r="A39" t="inlineStr">
        <is>
          <t>deferred_tax_pl</t>
        </is>
      </c>
      <c r="B39" t="inlineStr">
        <is>
          <t>Deferred tax</t>
        </is>
      </c>
      <c r="C39" t="inlineStr">
        <is>
          <t>PL</t>
        </is>
      </c>
      <c r="D39" t="inlineStr">
        <is>
          <t>Expense</t>
        </is>
      </c>
      <c r="E39" t="inlineStr">
        <is>
          <t>Tax Expense</t>
        </is>
      </c>
      <c r="F39" t="n">
        <v>410</v>
      </c>
      <c r="G39" t="inlineStr">
        <is>
          <t>partnership,llp</t>
        </is>
      </c>
      <c r="H39">
        <f>IF(COUNTIF(TB!$E$5:$E$504,B39)&gt;0,1,0)</f>
        <v/>
      </c>
      <c r="I39">
        <f>IF(H39=1,SUMPRODUCT(($F$2:$F$39&lt;=F39)*($H$2:$H$39=1)),"")</f>
        <v/>
      </c>
      <c r="K39" t="inlineStr">
        <is>
          <t>unpaid</t>
        </is>
      </c>
      <c r="L39" t="inlineStr">
        <is>
          <t>Other current liabilities</t>
        </is>
      </c>
    </row>
    <row r="40">
      <c r="K40" t="inlineStr">
        <is>
          <t>tcs payable</t>
        </is>
      </c>
      <c r="L40" t="inlineStr">
        <is>
          <t>Other current liabilities</t>
        </is>
      </c>
    </row>
    <row r="41">
      <c r="K41" t="inlineStr">
        <is>
          <t>pf payable</t>
        </is>
      </c>
      <c r="L41" t="inlineStr">
        <is>
          <t>Other current liabilities</t>
        </is>
      </c>
    </row>
    <row r="42">
      <c r="K42" t="inlineStr">
        <is>
          <t>esi payable</t>
        </is>
      </c>
      <c r="L42" t="inlineStr">
        <is>
          <t>Other current liabilities</t>
        </is>
      </c>
    </row>
    <row r="43">
      <c r="K43" t="inlineStr">
        <is>
          <t>provision for tax</t>
        </is>
      </c>
      <c r="L43" t="inlineStr">
        <is>
          <t>Short-term provisions</t>
        </is>
      </c>
    </row>
    <row r="44">
      <c r="K44" t="inlineStr">
        <is>
          <t>provision for expense</t>
        </is>
      </c>
      <c r="L44" t="inlineStr">
        <is>
          <t>Short-term provisions</t>
        </is>
      </c>
    </row>
    <row r="45">
      <c r="K45" t="inlineStr">
        <is>
          <t>provision for bonus</t>
        </is>
      </c>
      <c r="L45" t="inlineStr">
        <is>
          <t>Short-term provisions</t>
        </is>
      </c>
    </row>
    <row r="46">
      <c r="K46" t="inlineStr">
        <is>
          <t>provision for audit</t>
        </is>
      </c>
      <c r="L46" t="inlineStr">
        <is>
          <t>Short-term provisions</t>
        </is>
      </c>
    </row>
    <row r="47">
      <c r="K47" t="inlineStr">
        <is>
          <t>land</t>
        </is>
      </c>
      <c r="L47" t="inlineStr">
        <is>
          <t>Property, Plant and Equipment</t>
        </is>
      </c>
    </row>
    <row r="48">
      <c r="K48" t="inlineStr">
        <is>
          <t>building</t>
        </is>
      </c>
      <c r="L48" t="inlineStr">
        <is>
          <t>Property, Plant and Equipment</t>
        </is>
      </c>
    </row>
    <row r="49">
      <c r="K49" t="inlineStr">
        <is>
          <t>plant</t>
        </is>
      </c>
      <c r="L49" t="inlineStr">
        <is>
          <t>Property, Plant and Equipment</t>
        </is>
      </c>
    </row>
    <row r="50">
      <c r="K50" t="inlineStr">
        <is>
          <t>machinery</t>
        </is>
      </c>
      <c r="L50" t="inlineStr">
        <is>
          <t>Property, Plant and Equipment</t>
        </is>
      </c>
    </row>
    <row r="51">
      <c r="K51" t="inlineStr">
        <is>
          <t>furniture</t>
        </is>
      </c>
      <c r="L51" t="inlineStr">
        <is>
          <t>Property, Plant and Equipment</t>
        </is>
      </c>
    </row>
    <row r="52">
      <c r="K52" t="inlineStr">
        <is>
          <t>fixture</t>
        </is>
      </c>
      <c r="L52" t="inlineStr">
        <is>
          <t>Property, Plant and Equipment</t>
        </is>
      </c>
    </row>
    <row r="53">
      <c r="K53" t="inlineStr">
        <is>
          <t>vehicle</t>
        </is>
      </c>
      <c r="L53" t="inlineStr">
        <is>
          <t>Property, Plant and Equipment</t>
        </is>
      </c>
    </row>
    <row r="54">
      <c r="K54" t="inlineStr">
        <is>
          <t>computer</t>
        </is>
      </c>
      <c r="L54" t="inlineStr">
        <is>
          <t>Property, Plant and Equipment</t>
        </is>
      </c>
    </row>
    <row r="55">
      <c r="K55" t="inlineStr">
        <is>
          <t>office equipment</t>
        </is>
      </c>
      <c r="L55" t="inlineStr">
        <is>
          <t>Property, Plant and Equipment</t>
        </is>
      </c>
    </row>
    <row r="56">
      <c r="K56" t="inlineStr">
        <is>
          <t>fixed asset</t>
        </is>
      </c>
      <c r="L56" t="inlineStr">
        <is>
          <t>Property, Plant and Equipment</t>
        </is>
      </c>
    </row>
    <row r="57">
      <c r="K57" t="inlineStr">
        <is>
          <t>electrical installation</t>
        </is>
      </c>
      <c r="L57" t="inlineStr">
        <is>
          <t>Property, Plant and Equipment</t>
        </is>
      </c>
    </row>
    <row r="58">
      <c r="K58" t="inlineStr">
        <is>
          <t>printer</t>
        </is>
      </c>
      <c r="L58" t="inlineStr">
        <is>
          <t>Property, Plant and Equipment</t>
        </is>
      </c>
    </row>
    <row r="59">
      <c r="K59" t="inlineStr">
        <is>
          <t>car</t>
        </is>
      </c>
      <c r="L59" t="inlineStr">
        <is>
          <t>Property, Plant and Equipment</t>
        </is>
      </c>
    </row>
    <row r="60">
      <c r="K60" t="inlineStr">
        <is>
          <t>capital work</t>
        </is>
      </c>
      <c r="L60" t="inlineStr">
        <is>
          <t>Capital work-in-progress</t>
        </is>
      </c>
    </row>
    <row r="61">
      <c r="K61" t="inlineStr">
        <is>
          <t>cwip</t>
        </is>
      </c>
      <c r="L61" t="inlineStr">
        <is>
          <t>Capital work-in-progress</t>
        </is>
      </c>
    </row>
    <row r="62">
      <c r="K62" t="inlineStr">
        <is>
          <t>investment property</t>
        </is>
      </c>
      <c r="L62" t="inlineStr">
        <is>
          <t>Investment Property</t>
        </is>
      </c>
    </row>
    <row r="63">
      <c r="K63" t="inlineStr">
        <is>
          <t>goodwill</t>
        </is>
      </c>
      <c r="L63" t="inlineStr">
        <is>
          <t>Goodwill</t>
        </is>
      </c>
    </row>
    <row r="64">
      <c r="K64" t="inlineStr">
        <is>
          <t>software</t>
        </is>
      </c>
      <c r="L64" t="inlineStr">
        <is>
          <t>Other Intangible assets</t>
        </is>
      </c>
    </row>
    <row r="65">
      <c r="K65" t="inlineStr">
        <is>
          <t>patent</t>
        </is>
      </c>
      <c r="L65" t="inlineStr">
        <is>
          <t>Other Intangible assets</t>
        </is>
      </c>
    </row>
    <row r="66">
      <c r="K66" t="inlineStr">
        <is>
          <t>trademark</t>
        </is>
      </c>
      <c r="L66" t="inlineStr">
        <is>
          <t>Other Intangible assets</t>
        </is>
      </c>
    </row>
    <row r="67">
      <c r="K67" t="inlineStr">
        <is>
          <t>intangible</t>
        </is>
      </c>
      <c r="L67" t="inlineStr">
        <is>
          <t>Other Intangible assets</t>
        </is>
      </c>
    </row>
    <row r="68">
      <c r="K68" t="inlineStr">
        <is>
          <t>copyright</t>
        </is>
      </c>
      <c r="L68" t="inlineStr">
        <is>
          <t>Other Intangible assets</t>
        </is>
      </c>
    </row>
    <row r="69">
      <c r="K69" t="inlineStr">
        <is>
          <t>investment in shares</t>
        </is>
      </c>
      <c r="L69" t="inlineStr">
        <is>
          <t>Non-current investments</t>
        </is>
      </c>
    </row>
    <row r="70">
      <c r="K70" t="inlineStr">
        <is>
          <t>investment in subsidiary</t>
        </is>
      </c>
      <c r="L70" t="inlineStr">
        <is>
          <t>Non-current investments</t>
        </is>
      </c>
    </row>
    <row r="71">
      <c r="K71" t="inlineStr">
        <is>
          <t>long term investment</t>
        </is>
      </c>
      <c r="L71" t="inlineStr">
        <is>
          <t>Non-current investments</t>
        </is>
      </c>
    </row>
    <row r="72">
      <c r="K72" t="inlineStr">
        <is>
          <t>long-term investment</t>
        </is>
      </c>
      <c r="L72" t="inlineStr">
        <is>
          <t>Non-current investments</t>
        </is>
      </c>
    </row>
    <row r="73">
      <c r="K73" t="inlineStr">
        <is>
          <t>deferred tax asset</t>
        </is>
      </c>
      <c r="L73" t="inlineStr">
        <is>
          <t>Deferred tax assets (net)</t>
        </is>
      </c>
    </row>
    <row r="74">
      <c r="K74" t="inlineStr">
        <is>
          <t>security deposit paid</t>
        </is>
      </c>
      <c r="L74" t="inlineStr">
        <is>
          <t>Long-term loans and advances</t>
        </is>
      </c>
    </row>
    <row r="75">
      <c r="K75" t="inlineStr">
        <is>
          <t>security deposit given</t>
        </is>
      </c>
      <c r="L75" t="inlineStr">
        <is>
          <t>Long-term loans and advances</t>
        </is>
      </c>
    </row>
    <row r="76">
      <c r="K76" t="inlineStr">
        <is>
          <t>capital advance</t>
        </is>
      </c>
      <c r="L76" t="inlineStr">
        <is>
          <t>Long-term loans and advances</t>
        </is>
      </c>
    </row>
    <row r="77">
      <c r="K77" t="inlineStr">
        <is>
          <t>mutual fund</t>
        </is>
      </c>
      <c r="L77" t="inlineStr">
        <is>
          <t>Current investments</t>
        </is>
      </c>
    </row>
    <row r="78">
      <c r="K78" t="inlineStr">
        <is>
          <t>current investment</t>
        </is>
      </c>
      <c r="L78" t="inlineStr">
        <is>
          <t>Current investments</t>
        </is>
      </c>
    </row>
    <row r="79">
      <c r="K79" t="inlineStr">
        <is>
          <t>closing stock</t>
        </is>
      </c>
      <c r="L79" t="inlineStr">
        <is>
          <t>Inventories</t>
        </is>
      </c>
    </row>
    <row r="80">
      <c r="K80" t="inlineStr">
        <is>
          <t>stock</t>
        </is>
      </c>
      <c r="L80" t="inlineStr">
        <is>
          <t>Inventories</t>
        </is>
      </c>
    </row>
    <row r="81">
      <c r="K81" t="inlineStr">
        <is>
          <t>inventory</t>
        </is>
      </c>
      <c r="L81" t="inlineStr">
        <is>
          <t>Inventories</t>
        </is>
      </c>
    </row>
    <row r="82">
      <c r="K82" t="inlineStr">
        <is>
          <t>raw material</t>
        </is>
      </c>
      <c r="L82" t="inlineStr">
        <is>
          <t>Inventories</t>
        </is>
      </c>
    </row>
    <row r="83">
      <c r="K83" t="inlineStr">
        <is>
          <t>finished goods</t>
        </is>
      </c>
      <c r="L83" t="inlineStr">
        <is>
          <t>Inventories</t>
        </is>
      </c>
    </row>
    <row r="84">
      <c r="K84" t="inlineStr">
        <is>
          <t>stock-in-trade</t>
        </is>
      </c>
      <c r="L84" t="inlineStr">
        <is>
          <t>Inventories</t>
        </is>
      </c>
    </row>
    <row r="85">
      <c r="K85" t="inlineStr">
        <is>
          <t>work-in-progress</t>
        </is>
      </c>
      <c r="L85" t="inlineStr">
        <is>
          <t>Inventories</t>
        </is>
      </c>
    </row>
    <row r="86">
      <c r="K86" t="inlineStr">
        <is>
          <t>work in progress</t>
        </is>
      </c>
      <c r="L86" t="inlineStr">
        <is>
          <t>Inventories</t>
        </is>
      </c>
    </row>
    <row r="87">
      <c r="K87" t="inlineStr">
        <is>
          <t>sundry debtor</t>
        </is>
      </c>
      <c r="L87" t="inlineStr">
        <is>
          <t>Trade receivables</t>
        </is>
      </c>
    </row>
    <row r="88">
      <c r="K88" t="inlineStr">
        <is>
          <t>trade receivable</t>
        </is>
      </c>
      <c r="L88" t="inlineStr">
        <is>
          <t>Trade receivables</t>
        </is>
      </c>
    </row>
    <row r="89">
      <c r="K89" t="inlineStr">
        <is>
          <t>debtors</t>
        </is>
      </c>
      <c r="L89" t="inlineStr">
        <is>
          <t>Trade receivables</t>
        </is>
      </c>
    </row>
    <row r="90">
      <c r="K90" t="inlineStr">
        <is>
          <t>accounts receivable</t>
        </is>
      </c>
      <c r="L90" t="inlineStr">
        <is>
          <t>Trade receivables</t>
        </is>
      </c>
    </row>
    <row r="91">
      <c r="K91" t="inlineStr">
        <is>
          <t>cash in hand</t>
        </is>
      </c>
      <c r="L91" t="inlineStr">
        <is>
          <t>Cash and cash equivalents</t>
        </is>
      </c>
    </row>
    <row r="92">
      <c r="K92" t="inlineStr">
        <is>
          <t>cash at bank</t>
        </is>
      </c>
      <c r="L92" t="inlineStr">
        <is>
          <t>Cash and cash equivalents</t>
        </is>
      </c>
    </row>
    <row r="93">
      <c r="K93" t="inlineStr">
        <is>
          <t>bank account</t>
        </is>
      </c>
      <c r="L93" t="inlineStr">
        <is>
          <t>Cash and cash equivalents</t>
        </is>
      </c>
    </row>
    <row r="94">
      <c r="K94" t="inlineStr">
        <is>
          <t>petty cash</t>
        </is>
      </c>
      <c r="L94" t="inlineStr">
        <is>
          <t>Cash and cash equivalents</t>
        </is>
      </c>
    </row>
    <row r="95">
      <c r="K95" t="inlineStr">
        <is>
          <t>cash-in-hand</t>
        </is>
      </c>
      <c r="L95" t="inlineStr">
        <is>
          <t>Cash and cash equivalents</t>
        </is>
      </c>
    </row>
    <row r="96">
      <c r="K96" t="inlineStr">
        <is>
          <t>fixed deposit</t>
        </is>
      </c>
      <c r="L96" t="inlineStr">
        <is>
          <t>Cash and cash equivalents</t>
        </is>
      </c>
    </row>
    <row r="97">
      <c r="K97" t="inlineStr">
        <is>
          <t>fdr</t>
        </is>
      </c>
      <c r="L97" t="inlineStr">
        <is>
          <t>Cash and cash equivalents</t>
        </is>
      </c>
    </row>
    <row r="98">
      <c r="K98" t="inlineStr">
        <is>
          <t>advance to supplier</t>
        </is>
      </c>
      <c r="L98" t="inlineStr">
        <is>
          <t>Short-term loans and advances</t>
        </is>
      </c>
    </row>
    <row r="99">
      <c r="K99" t="inlineStr">
        <is>
          <t>advance to staff</t>
        </is>
      </c>
      <c r="L99" t="inlineStr">
        <is>
          <t>Short-term loans and advances</t>
        </is>
      </c>
    </row>
    <row r="100">
      <c r="K100" t="inlineStr">
        <is>
          <t>prepaid expense</t>
        </is>
      </c>
      <c r="L100" t="inlineStr">
        <is>
          <t>Short-term loans and advances</t>
        </is>
      </c>
    </row>
    <row r="101">
      <c r="K101" t="inlineStr">
        <is>
          <t>loans and advances</t>
        </is>
      </c>
      <c r="L101" t="inlineStr">
        <is>
          <t>Short-term loans and advances</t>
        </is>
      </c>
    </row>
    <row r="102">
      <c r="K102" t="inlineStr">
        <is>
          <t>loans &amp; advances</t>
        </is>
      </c>
      <c r="L102" t="inlineStr">
        <is>
          <t>Short-term loans and advances</t>
        </is>
      </c>
    </row>
    <row r="103">
      <c r="K103" t="inlineStr">
        <is>
          <t>tds receivable</t>
        </is>
      </c>
      <c r="L103" t="inlineStr">
        <is>
          <t>Short-term loans and advances</t>
        </is>
      </c>
    </row>
    <row r="104">
      <c r="K104" t="inlineStr">
        <is>
          <t>tcs</t>
        </is>
      </c>
      <c r="L104" t="inlineStr">
        <is>
          <t>Short-term loans and advances</t>
        </is>
      </c>
    </row>
    <row r="105">
      <c r="K105" t="inlineStr">
        <is>
          <t>advance tax</t>
        </is>
      </c>
      <c r="L105" t="inlineStr">
        <is>
          <t>Short-term loans and advances</t>
        </is>
      </c>
    </row>
    <row r="106">
      <c r="K106" t="inlineStr">
        <is>
          <t>gst input</t>
        </is>
      </c>
      <c r="L106" t="inlineStr">
        <is>
          <t>Short-term loans and advances</t>
        </is>
      </c>
    </row>
    <row r="107">
      <c r="K107" t="inlineStr">
        <is>
          <t>input tax credit</t>
        </is>
      </c>
      <c r="L107" t="inlineStr">
        <is>
          <t>Short-term loans and advances</t>
        </is>
      </c>
    </row>
    <row r="108">
      <c r="K108" t="inlineStr">
        <is>
          <t>itc</t>
        </is>
      </c>
      <c r="L108" t="inlineStr">
        <is>
          <t>Short-term loans and advances</t>
        </is>
      </c>
    </row>
    <row r="109">
      <c r="K109" t="inlineStr">
        <is>
          <t>accrued income</t>
        </is>
      </c>
      <c r="L109" t="inlineStr">
        <is>
          <t>Other current assets</t>
        </is>
      </c>
    </row>
    <row r="110">
      <c r="K110" t="inlineStr">
        <is>
          <t>interest receivable</t>
        </is>
      </c>
      <c r="L110" t="inlineStr">
        <is>
          <t>Other current assets</t>
        </is>
      </c>
    </row>
    <row r="111">
      <c r="K111" t="inlineStr">
        <is>
          <t>sales</t>
        </is>
      </c>
      <c r="L111" t="inlineStr">
        <is>
          <t>Revenue from operations</t>
        </is>
      </c>
    </row>
    <row r="112">
      <c r="K112" t="inlineStr">
        <is>
          <t>revenue from operations</t>
        </is>
      </c>
      <c r="L112" t="inlineStr">
        <is>
          <t>Revenue from operations</t>
        </is>
      </c>
    </row>
    <row r="113">
      <c r="K113" t="inlineStr">
        <is>
          <t>service income</t>
        </is>
      </c>
      <c r="L113" t="inlineStr">
        <is>
          <t>Revenue from operations</t>
        </is>
      </c>
    </row>
    <row r="114">
      <c r="K114" t="inlineStr">
        <is>
          <t>gross receipts</t>
        </is>
      </c>
      <c r="L114" t="inlineStr">
        <is>
          <t>Revenue from operations</t>
        </is>
      </c>
    </row>
    <row r="115">
      <c r="K115" t="inlineStr">
        <is>
          <t>turnover</t>
        </is>
      </c>
      <c r="L115" t="inlineStr">
        <is>
          <t>Revenue from operations</t>
        </is>
      </c>
    </row>
    <row r="116">
      <c r="K116" t="inlineStr">
        <is>
          <t>gst sales</t>
        </is>
      </c>
      <c r="L116" t="inlineStr">
        <is>
          <t>Revenue from operations</t>
        </is>
      </c>
    </row>
    <row r="117">
      <c r="K117" t="inlineStr">
        <is>
          <t>interest income</t>
        </is>
      </c>
      <c r="L117" t="inlineStr">
        <is>
          <t>Other income</t>
        </is>
      </c>
    </row>
    <row r="118">
      <c r="K118" t="inlineStr">
        <is>
          <t>interest received</t>
        </is>
      </c>
      <c r="L118" t="inlineStr">
        <is>
          <t>Other income</t>
        </is>
      </c>
    </row>
    <row r="119">
      <c r="K119" t="inlineStr">
        <is>
          <t>dividend income</t>
        </is>
      </c>
      <c r="L119" t="inlineStr">
        <is>
          <t>Other income</t>
        </is>
      </c>
    </row>
    <row r="120">
      <c r="K120" t="inlineStr">
        <is>
          <t>discount received</t>
        </is>
      </c>
      <c r="L120" t="inlineStr">
        <is>
          <t>Other income</t>
        </is>
      </c>
    </row>
    <row r="121">
      <c r="K121" t="inlineStr">
        <is>
          <t>rent received</t>
        </is>
      </c>
      <c r="L121" t="inlineStr">
        <is>
          <t>Other income</t>
        </is>
      </c>
    </row>
    <row r="122">
      <c r="K122" t="inlineStr">
        <is>
          <t>misc income</t>
        </is>
      </c>
      <c r="L122" t="inlineStr">
        <is>
          <t>Other income</t>
        </is>
      </c>
    </row>
    <row r="123">
      <c r="K123" t="inlineStr">
        <is>
          <t>miscellaneous income</t>
        </is>
      </c>
      <c r="L123" t="inlineStr">
        <is>
          <t>Other income</t>
        </is>
      </c>
    </row>
    <row r="124">
      <c r="K124" t="inlineStr">
        <is>
          <t>profit on sale</t>
        </is>
      </c>
      <c r="L124" t="inlineStr">
        <is>
          <t>Other income</t>
        </is>
      </c>
    </row>
    <row r="125">
      <c r="K125" t="inlineStr">
        <is>
          <t>material consumed</t>
        </is>
      </c>
      <c r="L125" t="inlineStr">
        <is>
          <t>Cost of materials consumed</t>
        </is>
      </c>
    </row>
    <row r="126">
      <c r="K126" t="inlineStr">
        <is>
          <t>cost of material</t>
        </is>
      </c>
      <c r="L126" t="inlineStr">
        <is>
          <t>Cost of materials consumed</t>
        </is>
      </c>
    </row>
    <row r="127">
      <c r="K127" t="inlineStr">
        <is>
          <t>raw material purchase</t>
        </is>
      </c>
      <c r="L127" t="inlineStr">
        <is>
          <t>Cost of materials consumed</t>
        </is>
      </c>
    </row>
    <row r="128">
      <c r="K128" t="inlineStr">
        <is>
          <t>purchase</t>
        </is>
      </c>
      <c r="L128" t="inlineStr">
        <is>
          <t>Purchases of Stock-in-Trade</t>
        </is>
      </c>
    </row>
    <row r="129">
      <c r="K129" t="inlineStr">
        <is>
          <t>gst purchase</t>
        </is>
      </c>
      <c r="L129" t="inlineStr">
        <is>
          <t>Purchases of Stock-in-Trade</t>
        </is>
      </c>
    </row>
    <row r="130">
      <c r="K130" t="inlineStr">
        <is>
          <t>import purchase</t>
        </is>
      </c>
      <c r="L130" t="inlineStr">
        <is>
          <t>Purchases of Stock-in-Trade</t>
        </is>
      </c>
    </row>
    <row r="131">
      <c r="K131" t="inlineStr">
        <is>
          <t>increase decrease stock</t>
        </is>
      </c>
      <c r="L131" t="inlineStr">
        <is>
          <t>Changes in inventories of finished goods, work-in-progress and stock-in-trade</t>
        </is>
      </c>
    </row>
    <row r="132">
      <c r="K132" t="inlineStr">
        <is>
          <t>change in inventor</t>
        </is>
      </c>
      <c r="L132" t="inlineStr">
        <is>
          <t>Changes in inventories of finished goods, work-in-progress and stock-in-trade</t>
        </is>
      </c>
    </row>
    <row r="133">
      <c r="K133" t="inlineStr">
        <is>
          <t>stock adjustment</t>
        </is>
      </c>
      <c r="L133" t="inlineStr">
        <is>
          <t>Changes in inventories of finished goods, work-in-progress and stock-in-trade</t>
        </is>
      </c>
    </row>
    <row r="134">
      <c r="K134" t="inlineStr">
        <is>
          <t>opening stock</t>
        </is>
      </c>
      <c r="L134" t="inlineStr">
        <is>
          <t>Changes in inventories of finished goods, work-in-progress and stock-in-trade</t>
        </is>
      </c>
    </row>
    <row r="135">
      <c r="K135" t="inlineStr">
        <is>
          <t>salary</t>
        </is>
      </c>
      <c r="L135" t="inlineStr">
        <is>
          <t>Employee benefits expense</t>
        </is>
      </c>
    </row>
    <row r="136">
      <c r="K136" t="inlineStr">
        <is>
          <t>wages</t>
        </is>
      </c>
      <c r="L136" t="inlineStr">
        <is>
          <t>Employee benefits expense</t>
        </is>
      </c>
    </row>
    <row r="137">
      <c r="K137" t="inlineStr">
        <is>
          <t>staff welfare</t>
        </is>
      </c>
      <c r="L137" t="inlineStr">
        <is>
          <t>Employee benefits expense</t>
        </is>
      </c>
    </row>
    <row r="138">
      <c r="K138" t="inlineStr">
        <is>
          <t>bonus</t>
        </is>
      </c>
      <c r="L138" t="inlineStr">
        <is>
          <t>Employee benefits expense</t>
        </is>
      </c>
    </row>
    <row r="139">
      <c r="K139" t="inlineStr">
        <is>
          <t>gratuity expense</t>
        </is>
      </c>
      <c r="L139" t="inlineStr">
        <is>
          <t>Employee benefits expense</t>
        </is>
      </c>
    </row>
    <row r="140">
      <c r="K140" t="inlineStr">
        <is>
          <t>provident fund</t>
        </is>
      </c>
      <c r="L140" t="inlineStr">
        <is>
          <t>Employee benefits expense</t>
        </is>
      </c>
    </row>
    <row r="141">
      <c r="K141" t="inlineStr">
        <is>
          <t>esi</t>
        </is>
      </c>
      <c r="L141" t="inlineStr">
        <is>
          <t>Employee benefits expense</t>
        </is>
      </c>
    </row>
    <row r="142">
      <c r="K142" t="inlineStr">
        <is>
          <t>employee benefit</t>
        </is>
      </c>
      <c r="L142" t="inlineStr">
        <is>
          <t>Employee benefits expense</t>
        </is>
      </c>
    </row>
    <row r="143">
      <c r="K143" t="inlineStr">
        <is>
          <t>staff cost</t>
        </is>
      </c>
      <c r="L143" t="inlineStr">
        <is>
          <t>Employee benefits expense</t>
        </is>
      </c>
    </row>
    <row r="144">
      <c r="K144" t="inlineStr">
        <is>
          <t>interest paid</t>
        </is>
      </c>
      <c r="L144" t="inlineStr">
        <is>
          <t>Finance costs</t>
        </is>
      </c>
    </row>
    <row r="145">
      <c r="K145" t="inlineStr">
        <is>
          <t>interest on loan</t>
        </is>
      </c>
      <c r="L145" t="inlineStr">
        <is>
          <t>Finance costs</t>
        </is>
      </c>
    </row>
    <row r="146">
      <c r="K146" t="inlineStr">
        <is>
          <t>interest expense</t>
        </is>
      </c>
      <c r="L146" t="inlineStr">
        <is>
          <t>Finance costs</t>
        </is>
      </c>
    </row>
    <row r="147">
      <c r="K147" t="inlineStr">
        <is>
          <t>bank charges</t>
        </is>
      </c>
      <c r="L147" t="inlineStr">
        <is>
          <t>Finance costs</t>
        </is>
      </c>
    </row>
    <row r="148">
      <c r="K148" t="inlineStr">
        <is>
          <t>loan processing fee</t>
        </is>
      </c>
      <c r="L148" t="inlineStr">
        <is>
          <t>Finance costs</t>
        </is>
      </c>
    </row>
    <row r="149">
      <c r="K149" t="inlineStr">
        <is>
          <t>finance cost</t>
        </is>
      </c>
      <c r="L149" t="inlineStr">
        <is>
          <t>Finance costs</t>
        </is>
      </c>
    </row>
    <row r="150">
      <c r="K150" t="inlineStr">
        <is>
          <t>interest on od</t>
        </is>
      </c>
      <c r="L150" t="inlineStr">
        <is>
          <t>Finance costs</t>
        </is>
      </c>
    </row>
    <row r="151">
      <c r="K151" t="inlineStr">
        <is>
          <t>interest on cc</t>
        </is>
      </c>
      <c r="L151" t="inlineStr">
        <is>
          <t>Finance costs</t>
        </is>
      </c>
    </row>
    <row r="152">
      <c r="K152" t="inlineStr">
        <is>
          <t>depreciation</t>
        </is>
      </c>
      <c r="L152" t="inlineStr">
        <is>
          <t>Depreciation and amortization expense</t>
        </is>
      </c>
    </row>
    <row r="153">
      <c r="K153" t="inlineStr">
        <is>
          <t>amortisation</t>
        </is>
      </c>
      <c r="L153" t="inlineStr">
        <is>
          <t>Depreciation and amortization expense</t>
        </is>
      </c>
    </row>
    <row r="154">
      <c r="K154" t="inlineStr">
        <is>
          <t>amortization</t>
        </is>
      </c>
      <c r="L154" t="inlineStr">
        <is>
          <t>Depreciation and amortization expense</t>
        </is>
      </c>
    </row>
    <row r="155">
      <c r="K155" t="inlineStr">
        <is>
          <t>rent</t>
        </is>
      </c>
      <c r="L155" t="inlineStr">
        <is>
          <t>Other expenses</t>
        </is>
      </c>
    </row>
    <row r="156">
      <c r="K156" t="inlineStr">
        <is>
          <t>rates and taxes</t>
        </is>
      </c>
      <c r="L156" t="inlineStr">
        <is>
          <t>Other expenses</t>
        </is>
      </c>
    </row>
    <row r="157">
      <c r="K157" t="inlineStr">
        <is>
          <t>electricity</t>
        </is>
      </c>
      <c r="L157" t="inlineStr">
        <is>
          <t>Other expenses</t>
        </is>
      </c>
    </row>
    <row r="158">
      <c r="K158" t="inlineStr">
        <is>
          <t>power and fuel</t>
        </is>
      </c>
      <c r="L158" t="inlineStr">
        <is>
          <t>Other expenses</t>
        </is>
      </c>
    </row>
    <row r="159">
      <c r="K159" t="inlineStr">
        <is>
          <t>repairs</t>
        </is>
      </c>
      <c r="L159" t="inlineStr">
        <is>
          <t>Other expenses</t>
        </is>
      </c>
    </row>
    <row r="160">
      <c r="K160" t="inlineStr">
        <is>
          <t>printing</t>
        </is>
      </c>
      <c r="L160" t="inlineStr">
        <is>
          <t>Other expenses</t>
        </is>
      </c>
    </row>
    <row r="161">
      <c r="K161" t="inlineStr">
        <is>
          <t>stationery</t>
        </is>
      </c>
      <c r="L161" t="inlineStr">
        <is>
          <t>Other expenses</t>
        </is>
      </c>
    </row>
    <row r="162">
      <c r="K162" t="inlineStr">
        <is>
          <t>travelling</t>
        </is>
      </c>
      <c r="L162" t="inlineStr">
        <is>
          <t>Other expenses</t>
        </is>
      </c>
    </row>
    <row r="163">
      <c r="K163" t="inlineStr">
        <is>
          <t>conveyance</t>
        </is>
      </c>
      <c r="L163" t="inlineStr">
        <is>
          <t>Other expenses</t>
        </is>
      </c>
    </row>
    <row r="164">
      <c r="K164" t="inlineStr">
        <is>
          <t>telephone</t>
        </is>
      </c>
      <c r="L164" t="inlineStr">
        <is>
          <t>Other expenses</t>
        </is>
      </c>
    </row>
    <row r="165">
      <c r="K165" t="inlineStr">
        <is>
          <t>internet</t>
        </is>
      </c>
      <c r="L165" t="inlineStr">
        <is>
          <t>Other expenses</t>
        </is>
      </c>
    </row>
    <row r="166">
      <c r="K166" t="inlineStr">
        <is>
          <t>legal</t>
        </is>
      </c>
      <c r="L166" t="inlineStr">
        <is>
          <t>Other expenses</t>
        </is>
      </c>
    </row>
    <row r="167">
      <c r="K167" t="inlineStr">
        <is>
          <t>professional</t>
        </is>
      </c>
      <c r="L167" t="inlineStr">
        <is>
          <t>Other expenses</t>
        </is>
      </c>
    </row>
    <row r="168">
      <c r="K168" t="inlineStr">
        <is>
          <t>audit fee</t>
        </is>
      </c>
      <c r="L168" t="inlineStr">
        <is>
          <t>Other expenses</t>
        </is>
      </c>
    </row>
    <row r="169">
      <c r="K169" t="inlineStr">
        <is>
          <t>insurance</t>
        </is>
      </c>
      <c r="L169" t="inlineStr">
        <is>
          <t>Other expenses</t>
        </is>
      </c>
    </row>
    <row r="170">
      <c r="K170" t="inlineStr">
        <is>
          <t>advertisement</t>
        </is>
      </c>
      <c r="L170" t="inlineStr">
        <is>
          <t>Other expenses</t>
        </is>
      </c>
    </row>
    <row r="171">
      <c r="K171" t="inlineStr">
        <is>
          <t>commission</t>
        </is>
      </c>
      <c r="L171" t="inlineStr">
        <is>
          <t>Other expenses</t>
        </is>
      </c>
    </row>
    <row r="172">
      <c r="K172" t="inlineStr">
        <is>
          <t>freight</t>
        </is>
      </c>
      <c r="L172" t="inlineStr">
        <is>
          <t>Other expenses</t>
        </is>
      </c>
    </row>
    <row r="173">
      <c r="K173" t="inlineStr">
        <is>
          <t>postage</t>
        </is>
      </c>
      <c r="L173" t="inlineStr">
        <is>
          <t>Other expenses</t>
        </is>
      </c>
    </row>
    <row r="174">
      <c r="K174" t="inlineStr">
        <is>
          <t>general expense</t>
        </is>
      </c>
      <c r="L174" t="inlineStr">
        <is>
          <t>Other expenses</t>
        </is>
      </c>
    </row>
    <row r="175">
      <c r="K175" t="inlineStr">
        <is>
          <t>miscellaneous expense</t>
        </is>
      </c>
      <c r="L175" t="inlineStr">
        <is>
          <t>Other expenses</t>
        </is>
      </c>
    </row>
    <row r="176">
      <c r="K176" t="inlineStr">
        <is>
          <t>donation</t>
        </is>
      </c>
      <c r="L176" t="inlineStr">
        <is>
          <t>Other expenses</t>
        </is>
      </c>
    </row>
    <row r="177">
      <c r="K177" t="inlineStr">
        <is>
          <t>membership</t>
        </is>
      </c>
      <c r="L177" t="inlineStr">
        <is>
          <t>Other expenses</t>
        </is>
      </c>
    </row>
    <row r="178">
      <c r="K178" t="inlineStr">
        <is>
          <t>round off</t>
        </is>
      </c>
      <c r="L178" t="inlineStr">
        <is>
          <t>Other expenses</t>
        </is>
      </c>
    </row>
    <row r="179">
      <c r="K179" t="inlineStr">
        <is>
          <t>partner remuneration</t>
        </is>
      </c>
      <c r="L179" t="inlineStr">
        <is>
          <t>Remuneration and Interest to Partners</t>
        </is>
      </c>
    </row>
    <row r="180">
      <c r="K180" t="inlineStr">
        <is>
          <t>partner salary</t>
        </is>
      </c>
      <c r="L180" t="inlineStr">
        <is>
          <t>Remuneration and Interest to Partners</t>
        </is>
      </c>
    </row>
    <row r="181">
      <c r="K181" t="inlineStr">
        <is>
          <t>interest on capital</t>
        </is>
      </c>
      <c r="L181" t="inlineStr">
        <is>
          <t>Remuneration and Interest to Partners</t>
        </is>
      </c>
    </row>
    <row r="182">
      <c r="K182" t="inlineStr">
        <is>
          <t>partner interest</t>
        </is>
      </c>
      <c r="L182" t="inlineStr">
        <is>
          <t>Remuneration and Interest to Partners</t>
        </is>
      </c>
    </row>
    <row r="183">
      <c r="K183" t="inlineStr">
        <is>
          <t>provision for income tax</t>
        </is>
      </c>
      <c r="L183" t="inlineStr">
        <is>
          <t>Current tax</t>
        </is>
      </c>
    </row>
    <row r="184">
      <c r="K184" t="inlineStr">
        <is>
          <t>income tax</t>
        </is>
      </c>
      <c r="L184" t="inlineStr">
        <is>
          <t>Current tax</t>
        </is>
      </c>
    </row>
    <row r="185">
      <c r="K185" t="inlineStr">
        <is>
          <t>current tax</t>
        </is>
      </c>
      <c r="L185" t="inlineStr">
        <is>
          <t>Current tax</t>
        </is>
      </c>
    </row>
    <row r="186">
      <c r="K186" t="inlineStr">
        <is>
          <t>deferred tax</t>
        </is>
      </c>
      <c r="L186" t="inlineStr">
        <is>
          <t>Deferred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2026-07-02T11:02:15Z</dcterms:created>
  <dcterms:modified xsi:type="dcterms:W3CDTF">2026-07-02T11:02:15Z</dcterms:modified>
</cp:coreProperties>
</file>